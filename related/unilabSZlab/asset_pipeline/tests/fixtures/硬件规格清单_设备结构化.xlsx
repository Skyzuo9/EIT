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s>
  <sheetData>
    <row r="1" ht="13" customHeight="1">
      <c r="A1" s="1" t="inlineStr">
        <is>
          <t>记录类型</t>
        </is>
      </c>
      <c r="B1" s="1" t="inlineStr">
        <is>
          <t>设备组</t>
        </is>
      </c>
      <c r="C1" s="1" t="inlineStr">
        <is>
          <t>设备类型</t>
        </is>
      </c>
      <c r="D1" s="1" t="inlineStr">
        <is>
          <t>厂商与型号</t>
        </is>
      </c>
      <c r="E1" s="1" t="inlineStr">
        <is>
          <t>仿真资产准备状况</t>
        </is>
      </c>
      <c r="F1" s="1" t="inlineStr">
        <is>
          <t>来源</t>
        </is>
      </c>
      <c r="G1" s="1" t="inlineStr">
        <is>
          <t>STL|Xacro状态</t>
        </is>
      </c>
      <c r="H1" s="1" t="inlineStr">
        <is>
          <t>是否国产</t>
        </is>
      </c>
      <c r="I1" s="1" t="inlineStr">
        <is>
          <t>数量</t>
        </is>
      </c>
      <c r="J1" s="1" t="inlineStr">
        <is>
          <t>单价（万元）</t>
        </is>
      </c>
      <c r="K1" s="1" t="inlineStr">
        <is>
          <t>合价（万元）</t>
        </is>
      </c>
      <c r="L1" s="1" t="inlineStr">
        <is>
          <t>功率（kW，估算）</t>
        </is>
      </c>
      <c r="M1" s="1" t="inlineStr">
        <is>
          <t>参数</t>
        </is>
      </c>
      <c r="N1" s="1" t="inlineStr">
        <is>
          <t>备注</t>
        </is>
      </c>
      <c r="O1" s="1" t="inlineStr">
        <is>
          <t>原始仪器设备名称</t>
        </is>
      </c>
      <c r="P1" s="1" t="inlineStr">
        <is>
          <t>来源设备类型</t>
        </is>
      </c>
      <c r="Q1" s="1" t="inlineStr">
        <is>
          <t>源文件行号</t>
        </is>
      </c>
      <c r="R1" s="1" t="inlineStr">
        <is>
          <t>国产|标准分类</t>
        </is>
      </c>
      <c r="S1" s="1" t="inlineStr">
        <is>
          <t>模型可用性</t>
        </is>
      </c>
      <c r="T1" s="1" t="inlineStr">
        <is>
          <t>模型证据</t>
        </is>
      </c>
      <c r="U1" s="1" t="inlineStr">
        <is>
          <t>模型仓库链接</t>
        </is>
      </c>
      <c r="V1" s="1" t="inlineStr">
        <is>
          <t>官网|资料链接</t>
        </is>
      </c>
      <c r="W1" s="1" t="inlineStr">
        <is>
          <t>模型适配建议</t>
        </is>
      </c>
      <c r="X1" s="1" t="inlineStr">
        <is>
          <t>父记录</t>
        </is>
      </c>
      <c r="Y1" s="1" t="inlineStr">
        <is>
          <t>结构化尺寸信息</t>
        </is>
      </c>
      <c r="Z1" s="1" t="inlineStr">
        <is>
          <t>购买渠道</t>
        </is>
      </c>
    </row>
    <row r="2" ht="25.5" customHeight="1">
      <c r="A2" t="inlineStr">
        <is>
          <t>北京实验室合成生物学</t>
        </is>
      </c>
      <c r="B2"/>
      <c r="C2"/>
      <c r="D2"/>
      <c r="E2"/>
      <c r="F2"/>
      <c r="G2"/>
      <c r="H2"/>
      <c r="I2"/>
      <c r="J2"/>
      <c r="K2"/>
      <c r="L2"/>
      <c r="M2"/>
      <c r="N2"/>
      <c r="O2"/>
      <c r="P2"/>
      <c r="Q2"/>
      <c r="R2"/>
      <c r="S2"/>
      <c r="T2"/>
      <c r="U2" s="2"/>
      <c r="V2" s="2"/>
      <c r="W2"/>
      <c r="X2"/>
      <c r="Y2"/>
      <c r="Z2"/>
    </row>
    <row r="3" ht="25.5" customHeight="1">
      <c r="A3" t="inlineStr">
        <is>
          <t>HW-1 数据中台与智能算力底座</t>
        </is>
      </c>
      <c r="B3" t="inlineStr">
        <is>
          <t>HW-1 数据中台与智能算力底座</t>
        </is>
      </c>
      <c r="C3" t="inlineStr">
        <is>
          <t>数据仓库与存储网络设备,计算服务器集群（GPU推理集群）</t>
        </is>
      </c>
      <c r="D3" t="inlineStr">
        <is>
          <t>总计</t>
        </is>
      </c>
      <c r="E3"/>
      <c r="F3" t="inlineStr">
        <is>
          <t>列表</t>
        </is>
      </c>
      <c r="G3"/>
      <c r="H3" t="inlineStr">
        <is>
          <t>可国产化</t>
        </is>
      </c>
      <c r="I3" t="inlineStr">
        <is>
          <t>1</t>
        </is>
      </c>
      <c r="J3" t="inlineStr">
        <is>
          <t>195</t>
        </is>
      </c>
      <c r="K3" t="inlineStr">
        <is>
          <t>195</t>
        </is>
      </c>
      <c r="L3" t="inlineStr">
        <is>
          <t>5~9（估算·待实测核定）</t>
        </is>
      </c>
      <c r="M3" t="inlineStr">
        <is>
          <t>包含设备类型：数据仓库与存储网络设备；计算服务器集群（GPU推理集群）</t>
        </is>
      </c>
      <c r="N3" t="inlineStr">
        <is>
          <t>整套作固定资产, 运输+安装+调试/验证费计入原值, 10年折旧</t>
        </is>
      </c>
      <c r="O3" t="inlineStr">
        <is>
          <t>HW-1 数据中台与智能算力底座</t>
        </is>
      </c>
      <c r="P3"/>
      <c r="Q3"/>
      <c r="R3"/>
      <c r="S3"/>
      <c r="T3"/>
      <c r="U3" s="2"/>
      <c r="V3" s="2"/>
      <c r="W3"/>
      <c r="X3" t="inlineStr">
        <is>
          <t>北京实验室合成生物学</t>
        </is>
      </c>
      <c r="Y3"/>
      <c r="Z3"/>
    </row>
    <row r="4" ht="25.5" customHeight="1">
      <c r="A4" t="inlineStr">
        <is>
          <t>数据仓库与存储网络设备</t>
        </is>
      </c>
      <c r="B4" t="inlineStr">
        <is>
          <t>HW-1 数据中台与智能算力底座</t>
        </is>
      </c>
      <c r="C4" t="inlineStr">
        <is>
          <t>数据仓库与存储网络设备</t>
        </is>
      </c>
      <c r="D4" t="inlineStr">
        <is>
          <t>通用</t>
        </is>
      </c>
      <c r="E4"/>
      <c r="F4" t="inlineStr">
        <is>
          <t>列表</t>
        </is>
      </c>
      <c r="G4"/>
      <c r="H4" t="inlineStr">
        <is>
          <t>可国产化</t>
        </is>
      </c>
      <c r="I4" t="inlineStr">
        <is>
          <t>1</t>
        </is>
      </c>
      <c r="J4" t="inlineStr">
        <is>
          <t>195</t>
        </is>
      </c>
      <c r="K4" t="inlineStr">
        <is>
          <t>195</t>
        </is>
      </c>
      <c r="L4" t="inlineStr">
        <is>
          <t>5~9（估算·待实测核定）</t>
        </is>
      </c>
      <c r="M4" t="inlineStr">
        <is>
          <t>1. 规格：企业级机架式服务器×2（主从热备）+ 分布式对象存储集群×1； 2. 存储容量：原始可用容量≥200TB，热数据读取带宽≥2GB/s，支持在线扩容； 3. 数据可靠性：纠删码（EC）或三副本策略，数据持久性≥99.999%，整体可用性≥99.99%； 4. 网络：10GbE以太网交换机≥24端口，支持链路聚合（LACP）及VLAN隔离； 5. 协议：同时支持S3对象协议、NFS/CIFS文件协议，与LIMS及仪器控制系统标准接口互通； 6. 管理：Web统一管理控制台，存储健康监控、告警与容量趋势预测； 7. 架构兼容：兼容国产CPU架构（含国产服务器及国产存储主控方案）。</t>
        </is>
      </c>
      <c r="N4" t="inlineStr">
        <is>
          <t>整套作固定资产, 运输+安装+调试/验证费计入原值, 10年折旧</t>
        </is>
      </c>
      <c r="O4" t="inlineStr">
        <is>
          <t>HW-1 数据中台与智能算力底座</t>
        </is>
      </c>
      <c r="P4" t="inlineStr">
        <is>
          <t>数据仓库与存储网络设备</t>
        </is>
      </c>
      <c r="Q4" t="inlineStr">
        <is>
          <t>2</t>
        </is>
      </c>
      <c r="R4"/>
      <c r="S4"/>
      <c r="T4"/>
      <c r="U4" s="2"/>
      <c r="V4" s="2"/>
      <c r="W4"/>
      <c r="X4" t="inlineStr">
        <is>
          <t>HW-1 数据中台与智能算力底座</t>
        </is>
      </c>
      <c r="Y4"/>
      <c r="Z4"/>
    </row>
    <row r="5" ht="25.5" customHeight="1">
      <c r="A5" t="inlineStr">
        <is>
          <t>计算服务器集群（GPU推理集群）</t>
        </is>
      </c>
      <c r="B5" t="inlineStr">
        <is>
          <t>HW-1 数据中台与智能算力底座</t>
        </is>
      </c>
      <c r="C5" t="inlineStr">
        <is>
          <t>计算服务器集群（GPU推理集群）</t>
        </is>
      </c>
      <c r="D5" t="inlineStr">
        <is>
          <t>通用</t>
        </is>
      </c>
      <c r="E5"/>
      <c r="F5" t="inlineStr">
        <is>
          <t>列表</t>
        </is>
      </c>
      <c r="G5"/>
      <c r="H5" t="inlineStr">
        <is>
          <t>可国产化</t>
        </is>
      </c>
      <c r="I5" t="inlineStr">
        <is>
          <t>1</t>
        </is>
      </c>
      <c r="J5" t="inlineStr">
        <is>
          <t>195</t>
        </is>
      </c>
      <c r="K5" t="inlineStr">
        <is>
          <t>195</t>
        </is>
      </c>
      <c r="L5" t="inlineStr">
        <is>
          <t>5~9（估算·待实测核定）</t>
        </is>
      </c>
      <c r="M5" t="inlineStr">
        <is>
          <t>1. 规格：高性能GPU加速服务器，2U机架式，≥2路国产CPU（主频≥2.5GHz，单路核心数≥32C）； 2. 显存：≥4块高显存GPU加速卡，单卡显存≥48GB，支持FP8/FP16/BF16混合精度推理； 3. 互联：GPU间NVLink或PCIe 5.0高速互联；节点间100GbE RDMA（RoCE v2）组网； 4. 内存：系统内存≥640GB DDR5 ECC； 5. 存储：≥2×480GB SSD（系统盘）+ ≥2×3.84TB NVMe SSD（数据缓存）； 6. 可靠性：冗余电源（N+1）、热插拔风扇、BMC远程带外管理； 7. 软件：支持GPU虚拟化，vGPU多租户隔离，推理延迟&lt;100ms； 8. 架构兼容：兼容国产GPU加速卡及配套算子库；整机支持国产化方案。</t>
        </is>
      </c>
      <c r="N5" t="inlineStr">
        <is>
          <t>整套作固定资产, 运输+安装+调试/验证费计入原值, 10年折旧</t>
        </is>
      </c>
      <c r="O5" t="inlineStr">
        <is>
          <t>HW-1 数据中台与智能算力底座</t>
        </is>
      </c>
      <c r="P5" t="inlineStr">
        <is>
          <t>计算服务器集群（GPU推理集群）</t>
        </is>
      </c>
      <c r="Q5" t="inlineStr">
        <is>
          <t>10</t>
        </is>
      </c>
      <c r="R5"/>
      <c r="S5"/>
      <c r="T5"/>
      <c r="U5" s="2"/>
      <c r="V5" s="2"/>
      <c r="W5"/>
      <c r="X5" t="inlineStr">
        <is>
          <t>HW-1 数据中台与智能算力底座</t>
        </is>
      </c>
      <c r="Y5"/>
      <c r="Z5"/>
    </row>
    <row r="6" ht="25.5" customHeight="1">
      <c r="A6" t="inlineStr">
        <is>
          <t>HW-2 高通量自动化表达与克隆筛选</t>
        </is>
      </c>
      <c r="B6" t="inlineStr">
        <is>
          <t>HW-2 高通量自动化表达与克隆筛选</t>
        </is>
      </c>
      <c r="C6" t="inlineStr">
        <is>
          <t>高通量自动化液体处理工作站,微量振荡培养箱与恒温板,多孔板离心机,超声破碎仪,全自动菌落挑选与接种系统</t>
        </is>
      </c>
      <c r="D6" t="inlineStr">
        <is>
          <t>总计</t>
        </is>
      </c>
      <c r="E6"/>
      <c r="F6" t="inlineStr">
        <is>
          <t>列表</t>
        </is>
      </c>
      <c r="G6"/>
      <c r="H6" t="inlineStr">
        <is>
          <t>可国产化</t>
        </is>
      </c>
      <c r="I6" t="inlineStr">
        <is>
          <t>1</t>
        </is>
      </c>
      <c r="J6" t="inlineStr">
        <is>
          <t>470</t>
        </is>
      </c>
      <c r="K6" t="inlineStr">
        <is>
          <t>470</t>
        </is>
      </c>
      <c r="L6" t="inlineStr">
        <is>
          <t>10~12（估算·待实测核定）</t>
        </is>
      </c>
      <c r="M6" t="inlineStr">
        <is>
          <t>包含设备类型：高通量自动化液体处理工作站；微量振荡培养箱与恒温板；多孔板离心机；超声破碎仪；全自动菌落挑选与接种系统</t>
        </is>
      </c>
      <c r="N6" t="inlineStr">
        <is>
          <t>整套作固定资产, 运输+安装+调试/验证费计入原值, 10年折旧</t>
        </is>
      </c>
      <c r="O6" t="inlineStr">
        <is>
          <t>HW-2 高通量自动化表达与克隆筛选</t>
        </is>
      </c>
      <c r="P6"/>
      <c r="Q6"/>
      <c r="R6"/>
      <c r="S6"/>
      <c r="T6"/>
      <c r="U6" s="2"/>
      <c r="V6" s="2"/>
      <c r="W6"/>
      <c r="X6" t="inlineStr">
        <is>
          <t>北京实验室合成生物学</t>
        </is>
      </c>
      <c r="Y6"/>
      <c r="Z6"/>
    </row>
    <row r="7" ht="25.5" customHeight="1">
      <c r="A7" t="inlineStr">
        <is>
          <t>HW-3 微型平行发酵与生物过程培养</t>
        </is>
      </c>
      <c r="B7" t="inlineStr">
        <is>
          <t>HW-3 微型平行发酵与生物过程培养</t>
        </is>
      </c>
      <c r="C7" t="inlineStr">
        <is>
          <t>微型平行生物反应器系统（含过程控制与补料工作站、联动接口集成模块）</t>
        </is>
      </c>
      <c r="D7" t="inlineStr">
        <is>
          <t>总计</t>
        </is>
      </c>
      <c r="E7"/>
      <c r="F7" t="inlineStr">
        <is>
          <t>列表</t>
        </is>
      </c>
      <c r="G7"/>
      <c r="H7" t="inlineStr">
        <is>
          <t>可国产化</t>
        </is>
      </c>
      <c r="I7" t="inlineStr">
        <is>
          <t>1</t>
        </is>
      </c>
      <c r="J7" t="inlineStr">
        <is>
          <t>460</t>
        </is>
      </c>
      <c r="K7" t="inlineStr">
        <is>
          <t>460</t>
        </is>
      </c>
      <c r="L7" t="inlineStr">
        <is>
          <t>5~8（估算·待实测核定）</t>
        </is>
      </c>
      <c r="M7" t="inlineStr">
        <is>
          <t>包含设备类型：微型平行生物反应器系统（含过程控制与补料工作站、联动接口集成模块）</t>
        </is>
      </c>
      <c r="N7" t="inlineStr">
        <is>
          <t>整机一体购置入账作固定资产, 运输+吊装+安装验证(IQ/OQ/PQ)费计入原值, 10年折旧</t>
        </is>
      </c>
      <c r="O7" t="inlineStr">
        <is>
          <t>HW-3 微型平行发酵与生物过程培养</t>
        </is>
      </c>
      <c r="P7"/>
      <c r="Q7"/>
      <c r="R7"/>
      <c r="S7"/>
      <c r="T7"/>
      <c r="U7" s="2"/>
      <c r="V7" s="2"/>
      <c r="W7"/>
      <c r="X7" t="inlineStr">
        <is>
          <t>北京实验室合成生物学</t>
        </is>
      </c>
      <c r="Y7"/>
      <c r="Z7"/>
    </row>
    <row r="8" ht="25.5" customHeight="1">
      <c r="A8" t="inlineStr">
        <is>
          <t>微型平行生物反应器系统（含过程控制与补料工作站、联动接口集成模块）</t>
        </is>
      </c>
      <c r="B8" t="inlineStr">
        <is>
          <t>HW-3 微型平行发酵与生物过程培养</t>
        </is>
      </c>
      <c r="C8" t="inlineStr">
        <is>
          <t>微型平行生物反应器系统（含过程控制与补料工作站、联动接口集成模块）</t>
        </is>
      </c>
      <c r="D8" t="inlineStr">
        <is>
          <t>通用</t>
        </is>
      </c>
      <c r="E8"/>
      <c r="F8" t="inlineStr">
        <is>
          <t>列表</t>
        </is>
      </c>
      <c r="G8"/>
      <c r="H8" t="inlineStr">
        <is>
          <t>可国产化</t>
        </is>
      </c>
      <c r="I8" t="inlineStr">
        <is>
          <t>1</t>
        </is>
      </c>
      <c r="J8" t="inlineStr">
        <is>
          <t>460</t>
        </is>
      </c>
      <c r="K8" t="inlineStr">
        <is>
          <t>460</t>
        </is>
      </c>
      <c r="L8" t="inlineStr">
        <is>
          <t>5~8（估算·待实测核定）</t>
        </is>
      </c>
      <c r="M8" t="inlineStr">
        <is>
          <t>1. 并行路数：最多24路同步并行，工作体积100~250mL/罐，支持8/16/24路灵活配置； 2. pH控制：范围3~9，精度±0.05pH，自动酸碱补料闭环控制； 3. 溶氧（DO）：范围0~200%，精度±2%，搅拌/通气/叠加补氧级联控制策略； 4. 温度：范围20~45℃，精度±0.1℃，各路独立温控，支持温度梯度实验设计； 5. 搅拌：转速100~2000rpm，直流无刷电机，精度±5rpm； 6. 补料系统：每路独立蠕动泵，≥4通道/罐（葡萄糖/氮源/酸/碱），流量0.1~50mL/h； 7. 在线监测：pH、DO、OD（在线浊度）、温度实时采集，采样间隔≤30s； 8. 过程控制软件：随主机配套，支持DoE矩阵设计与全参数记录，导出JSON/CSV； 9. 联动接口：OPC-UA原生接口，与在线拉曼探头及自研发酵优化软件实时双向通信； 10. 通用性：标准化多路并行微型发酵架构，技术指标达到国际主流并行发酵系统同等水平。</t>
        </is>
      </c>
      <c r="N8" t="inlineStr">
        <is>
          <t>整机一体购置入账作固定资产, 运输+吊装+安装验证(IQ/OQ/PQ)费计入原值, 10年折旧</t>
        </is>
      </c>
      <c r="O8" t="inlineStr">
        <is>
          <t>HW-3 微型平行发酵与生物过程培养</t>
        </is>
      </c>
      <c r="P8" t="inlineStr">
        <is>
          <t>微型平行生物反应器系统（含过程控制与补料工作站、联动接口集成模块）</t>
        </is>
      </c>
      <c r="Q8" t="inlineStr">
        <is>
          <t>44</t>
        </is>
      </c>
      <c r="R8"/>
      <c r="S8"/>
      <c r="T8"/>
      <c r="U8" s="2"/>
      <c r="V8" s="2"/>
      <c r="W8"/>
      <c r="X8" t="inlineStr">
        <is>
          <t>HW-3 微型平行发酵与生物过程培养</t>
        </is>
      </c>
      <c r="Y8"/>
      <c r="Z8"/>
    </row>
    <row r="9" ht="25.5" customHeight="1">
      <c r="A9" t="inlineStr">
        <is>
          <t>HW-4 发酵过程在线监测与蛋白稳定性表征</t>
        </is>
      </c>
      <c r="B9" t="inlineStr">
        <is>
          <t>HW-4 发酵过程在线监测与蛋白稳定性表征</t>
        </is>
      </c>
      <c r="C9" t="inlineStr">
        <is>
          <t>在线拉曼/近红外过程分析探头,多模式蛋白稳定性分析系统,多功能微孔板读板仪,毛细管电泳SDS蛋白分析系统</t>
        </is>
      </c>
      <c r="D9" t="inlineStr">
        <is>
          <t>总计</t>
        </is>
      </c>
      <c r="E9"/>
      <c r="F9" t="inlineStr">
        <is>
          <t>列表</t>
        </is>
      </c>
      <c r="G9"/>
      <c r="H9" t="inlineStr">
        <is>
          <t>蛋白稳定性分析为进口可国产化+自动化改造, 其余可国产化</t>
        </is>
      </c>
      <c r="I9" t="inlineStr">
        <is>
          <t>1</t>
        </is>
      </c>
      <c r="J9" t="inlineStr">
        <is>
          <t>435</t>
        </is>
      </c>
      <c r="K9" t="inlineStr">
        <is>
          <t>435</t>
        </is>
      </c>
      <c r="L9" t="inlineStr">
        <is>
          <t>1.4~2.6（估算·待实测核定）</t>
        </is>
      </c>
      <c r="M9" t="inlineStr">
        <is>
          <t>包含设备类型：在线拉曼/近红外过程分析探头；多模式蛋白稳定性分析系统；多功能微孔板读板仪；毛细管电泳SDS蛋白分析系统</t>
        </is>
      </c>
      <c r="N9" t="inlineStr">
        <is>
          <t>整套作固定资产, 运输+安装+调试/验证费计入原值, 10年折旧</t>
        </is>
      </c>
      <c r="O9" t="inlineStr">
        <is>
          <t>HW-4 发酵过程在线监测与蛋白稳定性表征</t>
        </is>
      </c>
      <c r="P9"/>
      <c r="Q9"/>
      <c r="R9"/>
      <c r="S9"/>
      <c r="T9"/>
      <c r="U9" s="2"/>
      <c r="V9" s="2"/>
      <c r="W9"/>
      <c r="X9" t="inlineStr">
        <is>
          <t>北京实验室合成生物学</t>
        </is>
      </c>
      <c r="Y9"/>
      <c r="Z9"/>
    </row>
    <row r="10" ht="25.5" customHeight="1">
      <c r="A10" t="inlineStr">
        <is>
          <t>Hamilton Microlab STAR</t>
        </is>
      </c>
      <c r="B10" t="inlineStr">
        <is>
          <t>HW-2 高通量自动化表达与克隆筛选</t>
        </is>
      </c>
      <c r="C10" t="inlineStr">
        <is>
          <t>高通量液体处理工作站</t>
        </is>
      </c>
      <c r="D10" t="inlineStr">
        <is>
          <t>Hamilton Microlab STAR</t>
        </is>
      </c>
      <c r="E10" t="inlineStr">
        <is>
          <t>不带可动关节urdf</t>
        </is>
      </c>
      <c r="F10" t="inlineStr">
        <is>
          <t>列表, 参考, asset</t>
        </is>
      </c>
      <c r="G10" t="inlineStr">
        <is>
          <t>URDF可用, Mesh可用</t>
        </is>
      </c>
      <c r="H10" t="inlineStr">
        <is>
          <t>进口标杆</t>
        </is>
      </c>
      <c r="I10" t="inlineStr">
        <is>
          <t>候选</t>
        </is>
      </c>
      <c r="J10" t="inlineStr">
        <is>
          <t>待询价</t>
        </is>
      </c>
      <c r="K10" t="inlineStr">
        <is>
          <t>待询价</t>
        </is>
      </c>
      <c r="L10" t="inlineStr">
        <is>
          <t>待确认</t>
        </is>
      </c>
      <c r="M10" t="inlineStr">
        <is>
          <t>独立通道、CO-RE、plate gripper/条码/集成能力，适合PCR setup、DNA组装、归一化和板间转移。最多16×1 mL通道或8×5 mL通道；可选96/384 MPH；55 ANSI/SLAS positions。</t>
        </is>
      </c>
      <c r="N10" t="inlineStr">
        <is>
          <t>标准候选；已合并 asset 记录：Hamilton STAR(let)（recvoR5rw14LiZ）；asset 设备类型：工作站；原因：manual_high_confidence_same_model_or_family。</t>
        </is>
      </c>
      <c r="O10" t="inlineStr">
        <is>
          <t>HW-2 高通量自动化表达与克隆筛选</t>
        </is>
      </c>
      <c r="P10" t="inlineStr">
        <is>
          <t>在线调研补充</t>
        </is>
      </c>
      <c r="Q10" t="inlineStr">
        <is>
          <t>online-20260709</t>
        </is>
      </c>
      <c r="R10" t="inlineStr">
        <is>
          <t>标准/进口</t>
        </is>
      </c>
      <c r="S10" t="inlineStr">
        <is>
          <t>中</t>
        </is>
      </c>
      <c r="T10" t="inlineStr">
        <is>
          <t>公开检索未发现整机几何模型。
合并asset证据：来源工作簿 pylabrobot_model_coverage.xlsx / PLR × 模型库覆盖 第4行；模型ID：hamilton_star / hamilton_starlet_liquid_handler；Mesh：0_base.stl 1_top.stl；0_base.stl 1_top.stl；关节：—；—；缺失要素：moveable joints, inertial, collision；moveable joints, inertial, collision。</t>
        </is>
      </c>
      <c r="U10" s="2" t="str">
        <f>=HYPERLINK("http://uni-lab-assets / pylabrobot_models", "uni-lab-assets / pylabrobot_models")</f>
        <v>uni-lab-assets / pylabrobot_models</v>
      </c>
      <c r="V10" s="2" t="str">
        <f>=HYPERLINK("https://www.hamiltoncompany.com/Microlab-STAR
https://www.hamiltoncompany.com/knowledge-base/brochure/microlab-star-brochure", "https://www.hamiltoncompany.com/Microlab-STAR,https://www.hamiltoncompany.com/knowledge-base/brochure/microlab-star-brochure")</f>
        <v>https://www.hamiltoncompany.com/Microlab-STAR,https://www.hamiltoncompany.com/knowledge-base/brochure/microlab-star-brochure</v>
      </c>
      <c r="W10" t="inlineStr">
        <is>
          <t>未找到整机公开STL/STEP/URDF；Hamilton OEM部件有CAD但不等于STAR整机模型。
asset合并建议：已有uni-lab-assets模型，URDF完整度L2；无需结构化尺寸。Backend可按现有仿真节点模式接入。</t>
        </is>
      </c>
      <c r="X10" t="inlineStr">
        <is>
          <t>高通量自动化液体处理工作站 / 灵活8通道移液工作站 / 96通道移液工作站</t>
        </is>
      </c>
      <c r="Y10" t="inlineStr">
        <is>
          <t>{"宽mm": 1660, "深mm": "781–1010", "高mm": 903, "重量kg": 145, "占地/安装备注": "深度随配置/开门或载架状态变化；集成左右180°设备需额外空间。", "尺寸来源URL": "https://www.hamiltoncompany.com/Microlab-STAR"}</t>
        </is>
      </c>
      <c r="Z10"/>
    </row>
    <row r="11" ht="25.5" customHeight="1">
      <c r="A11" t="inlineStr">
        <is>
          <t>Tecan Fluent 780</t>
        </is>
      </c>
      <c r="B11" t="inlineStr">
        <is>
          <t>HW-2 高通量自动化表达与克隆筛选</t>
        </is>
      </c>
      <c r="C11" t="inlineStr">
        <is>
          <t>高通量液体处理工作站</t>
        </is>
      </c>
      <c r="D11" t="inlineStr">
        <is>
          <t>Tecan Fluent 780</t>
        </is>
      </c>
      <c r="E11" t="inlineStr">
        <is>
          <t>存在近似asset</t>
        </is>
      </c>
      <c r="F11" t="inlineStr">
        <is>
          <t>列表, 参考</t>
        </is>
      </c>
      <c r="G11" t="inlineStr">
        <is>
          <t>第三方3D模型可用, 未发现官方STL/Xacro</t>
        </is>
      </c>
      <c r="H11" t="inlineStr">
        <is>
          <t>进口标杆</t>
        </is>
      </c>
      <c r="I11" t="inlineStr">
        <is>
          <t>候选</t>
        </is>
      </c>
      <c r="J11" t="inlineStr">
        <is>
          <t>待询价</t>
        </is>
      </c>
      <c r="K11" t="inlineStr">
        <is>
          <t>待询价</t>
        </is>
      </c>
      <c r="L11" t="inlineStr">
        <is>
          <t>待确认</t>
        </is>
      </c>
      <c r="M11" t="inlineStr">
        <is>
          <t>多机械臂、FCA/MCA、条码与模块集成，适合克隆构建、重排板、表达筛选配液。关键规格：1–3 robotic arms；FCA 8通道；MCA 96/384；deck容量48 plate/tip box。</t>
        </is>
      </c>
      <c r="N11" t="inlineStr">
        <is>
          <t>标准候选；存在近似asset：Tecan Freedom EVO（recvoR5rw1P1Gb），可作同厂商/同功能类别占位参考；未与当前型号合并。</t>
        </is>
      </c>
      <c r="O11" t="inlineStr">
        <is>
          <t>HW-2 高通量自动化表达与克隆筛选</t>
        </is>
      </c>
      <c r="P11" t="inlineStr">
        <is>
          <t>在线调研补充</t>
        </is>
      </c>
      <c r="Q11" t="inlineStr">
        <is>
          <t>online-20260709</t>
        </is>
      </c>
      <c r="R11" t="inlineStr">
        <is>
          <t>标准/进口</t>
        </is>
      </c>
      <c r="S11" t="inlineStr">
        <is>
          <t>中</t>
        </is>
      </c>
      <c r="T11" t="inlineStr">
        <is>
          <t>第三方商业3D模型检索命中；官方规格/手册未发现公开STEP/URDF/Xacro。</t>
        </is>
      </c>
      <c r="U11" s="2" t="str">
        <f>=HYPERLINK("https://www.turbosquid.com/Search/3D-Models/tecan-fluent-780", "https://www.turbosquid.com/Search/3D-Models/tecan-fluent-780")</f>
        <v>https://www.turbosquid.com/Search/3D-Models/tecan-fluent-780</v>
      </c>
      <c r="V11" s="2" t="str">
        <f>=HYPERLINK("https://lifesciences.tecan.com/fluent-laboratory-automation-workstation
https://www.tecan.com/hubfs/HubDB/Te-DocDB/pdf/BR_Fluent-Specification-Sheet_398328.pdf
https://www.turbosquid.com/Search/3D-Models/tecan-fluent-780", "https://lifesciences.tecan.com/fluent-laboratory-automation-workstation,https://www.tecan.com/hubfs/HubDB/Te-DocDB/pdf/BR_Fluent-Specification-Sheet_398328.pdf,https://www.turbosquid.com/Search/3D-Models/tecan-fluent-780")</f>
        <v>https://lifesciences.tecan.com/fluent-laboratory-automation-workstation,https://www.tecan.com/hubfs/HubDB/Te-DocDB/pdf/BR_Fluent-Specification-Sheet_398328.pdf,https://www.turbosquid.com/Search/3D-Models/tecan-fluent-780</v>
      </c>
      <c r="W11" t="inlineStr">
        <is>
          <t>找到第三方商业3D模型；未找到官方STEP/URDF/Xacro。采购/RFI建议向Tecan或集成商索取外形CAD/接口模型。</t>
        </is>
      </c>
      <c r="X11" t="inlineStr">
        <is>
          <t>高通量自动化液体处理工作站 / 灵活8通道移液工作站 / 96通道移液工作站</t>
        </is>
      </c>
      <c r="Y11" t="inlineStr">
        <is>
          <t>{"宽mm": 1650, "深mm": 785, "高mm": 1236, "重量kg": "约140 kg base unit；不含模块/罩体/柜体", "占地/安装备注": "long Z 高度2301 mm；HEPA/柜体另计；需预留服务空间与集成模块空间。", "尺寸来源URL": "https://www.tecan.com/hubfs/HubDB/Te-DocDB/pdf/BR_Fluent-Specification-Sheet_398328.pdf；https://www.tecan.com/hubfs/399937_en_v1_7.pdf"}</t>
        </is>
      </c>
      <c r="Z11"/>
    </row>
    <row r="12" ht="25.5" customHeight="1">
      <c r="A12" t="inlineStr">
        <is>
          <t>Opentrons OT-2</t>
        </is>
      </c>
      <c r="B12" t="inlineStr">
        <is>
          <t>HW-2 高通量自动化表达与克隆筛选</t>
        </is>
      </c>
      <c r="C12" t="inlineStr">
        <is>
          <t>高通量自动化液体处理工作站</t>
        </is>
      </c>
      <c r="D12" t="inlineStr">
        <is>
          <t>Opentrons OT-2</t>
        </is>
      </c>
      <c r="E12" t="inlineStr">
        <is>
          <t>带关节urdf</t>
        </is>
      </c>
      <c r="F12" t="inlineStr">
        <is>
          <t>AI, asset</t>
        </is>
      </c>
      <c r="G12" t="inlineStr">
        <is>
          <t>STL可用, URDF可用, Mesh可用</t>
        </is>
      </c>
      <c r="H12" t="inlineStr">
        <is>
          <t>否（美国）</t>
        </is>
      </c>
      <c r="I12" t="inlineStr">
        <is>
          <t>候选</t>
        </is>
      </c>
      <c r="J12" t="inlineStr">
        <is>
          <t>待询价</t>
        </is>
      </c>
      <c r="K12" t="inlineStr">
        <is>
          <t>待询价</t>
        </is>
      </c>
      <c r="L12" t="inlineStr">
        <is>
          <t>待确认</t>
        </is>
      </c>
      <c r="M12" t="inlineStr">
        <is>
          <t>开源实验室液体处理平台；适合自动化移液、96孔/384孔板流程、Python Protocol API集成；可作为低成本标准候选。</t>
        </is>
      </c>
      <c r="N12" t="inlineStr">
        <is>
          <t>标准候选|官方开源硬件参考模型。；已合并 asset 记录：Opentrons OT-2（recvoR5rw1uj69）；asset 设备类型：工作站；原因：manual_high_confidence_same_model_or_family。</t>
        </is>
      </c>
      <c r="O12" t="inlineStr">
        <is>
          <t>HW-2 高通量自动化表达与克隆筛选</t>
        </is>
      </c>
      <c r="P12" t="inlineStr">
        <is>
          <t>在线调研补充</t>
        </is>
      </c>
      <c r="Q12" t="inlineStr">
        <is>
          <t>online</t>
        </is>
      </c>
      <c r="R12" t="inlineStr">
        <is>
          <t>标准/进口</t>
        </is>
      </c>
      <c r="S12" t="inlineStr">
        <is>
          <t>高</t>
        </is>
      </c>
      <c r="T12" t="inlineStr">
        <is>
          <t>STL示例：reference-model/STL/OT-2 Reference Model Basic.STL | reference-model/STL/OT-2 Reference Model Detailed.STL；STEP示例：reference-model/STEP/OT-2 Reference Model Basic.STEP | reference-model/STEP/OT-2 Reference Model Detailed.STEP
合并asset证据：来源工作簿 pylabrobot_model_coverage.xlsx / PLR × 模型库覆盖 第9行；模型ID：opentrons_liquid_handler；Mesh：ot2-0~3b.stl (×5)；关节：X轴(prismatic) Y轴(prismatic) Z轴(prismatic) 移液头(prismatic)；缺失要素：inertial, collision。</t>
        </is>
      </c>
      <c r="U12" s="2" t="str">
        <f>=HYPERLINK("http://uni-lab-assets / pylabrobot_models", "uni-lab-assets / pylabrobot_models")</f>
        <v>uni-lab-assets / pylabrobot_models</v>
      </c>
      <c r="V12" s="2" t="str">
        <f>=HYPERLINK("https://opentrons.com/ot-2", "https://opentrons.com/ot-2")</f>
        <v>https://opentrons.com/ot-2</v>
      </c>
      <c r="W12" t="inlineStr">
        <is>
          <t>有STL/STEP参考模型，无Xacro；可用CAD网格建立简化URDF/Xacro。
asset合并建议：已有uni-lab-assets模型，URDF完整度L3 ★；无需结构化尺寸。Backend可按现有仿真节点模式接入。</t>
        </is>
      </c>
      <c r="X12" t="inlineStr">
        <is>
          <t>高通量自动化液体处理工作站 / 灵活8通道移液工作站 / 96通道移液工作站</t>
        </is>
      </c>
      <c r="Y12"/>
      <c r="Z12"/>
    </row>
    <row r="13" ht="25.5" customHeight="1">
      <c r="A13" t="inlineStr">
        <is>
          <t>Universal Robots UR5e</t>
        </is>
      </c>
      <c r="B13" t="inlineStr">
        <is>
          <t>HW-2 高通量自动化表达与克隆筛选</t>
        </is>
      </c>
      <c r="C13" t="inlineStr">
        <is>
          <t>机械臂/协作机器人（自动化集成）</t>
        </is>
      </c>
      <c r="D13" t="inlineStr">
        <is>
          <t>Universal Robots UR5e</t>
        </is>
      </c>
      <c r="E13"/>
      <c r="F13" t="inlineStr">
        <is>
          <t>AI</t>
        </is>
      </c>
      <c r="G13" t="inlineStr">
        <is>
          <t>Xacro可用, STL可用</t>
        </is>
      </c>
      <c r="H13" t="inlineStr">
        <is>
          <t>否（丹麦）</t>
        </is>
      </c>
      <c r="I13" t="inlineStr">
        <is>
          <t>候选</t>
        </is>
      </c>
      <c r="J13" t="inlineStr">
        <is>
          <t>待询价</t>
        </is>
      </c>
      <c r="K13" t="inlineStr">
        <is>
          <t>待询价</t>
        </is>
      </c>
      <c r="L13" t="inlineStr">
        <is>
          <t>约0.2~0.6（待确认）</t>
        </is>
      </c>
      <c r="M13" t="inlineStr">
        <is>
          <t>6轴协作机器人；典型用于实验室自动化搬运、板/管架转移、设备上下料；公开ROS2描述资源成熟。</t>
        </is>
      </c>
      <c r="N13" t="inlineStr">
        <is>
          <t>标准候选, 模型资源非常完整。</t>
        </is>
      </c>
      <c r="O13" t="inlineStr">
        <is>
          <t>HW-2 高通量自动化表达与克隆筛选</t>
        </is>
      </c>
      <c r="P13" t="inlineStr">
        <is>
          <t>在线调研补充</t>
        </is>
      </c>
      <c r="Q13" t="inlineStr">
        <is>
          <t>online</t>
        </is>
      </c>
      <c r="R13" t="inlineStr">
        <is>
          <t>标准/进口</t>
        </is>
      </c>
      <c r="S13" t="inlineStr">
        <is>
          <t>高</t>
        </is>
      </c>
      <c r="T13" t="inlineStr">
        <is>
          <t>Xacro示例：urdf/inc/ur_common.xacro | urdf/inc/ur_joint_control.xacro | urdf/inc/ur_sensors.xacro；STL示例：meshes/ur10/collision/base.stl | meshes/ur10/collision/forearm.stl | meshes/ur10/collision/shoulder.stl；DAE示例：meshes/ur10/visual/base.dae | meshes/ur10/visual/forearm.dae | meshes/ur10/visual/shoulder.dae</t>
        </is>
      </c>
      <c r="U13" s="2" t="str">
        <f>=HYPERLINK("https://github.com/UniversalRobots/Universal_Robots_ROS2_Description", "https://github.com/UniversalRobots/Universal_Robots_ROS2_Description")</f>
        <v>https://github.com/UniversalRobots/Universal_Robots_ROS2_Description</v>
      </c>
      <c r="V13" s="2" t="str">
        <f>=HYPERLINK("https://www.universal-robots.com/products/ur5-robot/", "https://www.universal-robots.com/products/ur5-robot/")</f>
        <v>https://www.universal-robots.com/products/ur5-robot/</v>
      </c>
      <c r="W13" t="inlineStr">
        <is>
          <t>有官方/社区ROS2 Xacro、STL碰撞网格、DAE视觉网格，可直接用于仿真。</t>
        </is>
      </c>
      <c r="X13" t="inlineStr">
        <is>
          <t>机械臂/协作机器人（自动化集成）</t>
        </is>
      </c>
      <c r="Y13"/>
      <c r="Z13"/>
    </row>
    <row r="14" ht="25.5" customHeight="1">
      <c r="A14" t="inlineStr">
        <is>
          <t>Franka Robotics FR3 / Panda系列</t>
        </is>
      </c>
      <c r="B14" t="inlineStr">
        <is>
          <t>HW-2 高通量自动化表达与克隆筛选</t>
        </is>
      </c>
      <c r="C14" t="inlineStr">
        <is>
          <t>机械臂/协作机器人（自动化集成）</t>
        </is>
      </c>
      <c r="D14" t="inlineStr">
        <is>
          <t>Franka Robotics FR3 / Panda系列</t>
        </is>
      </c>
      <c r="E14"/>
      <c r="F14" t="inlineStr">
        <is>
          <t>AI</t>
        </is>
      </c>
      <c r="G14" t="inlineStr">
        <is>
          <t>Xacro可用, STL可用</t>
        </is>
      </c>
      <c r="H14" t="inlineStr">
        <is>
          <t>否（德国）</t>
        </is>
      </c>
      <c r="I14" t="inlineStr">
        <is>
          <t>候选</t>
        </is>
      </c>
      <c r="J14" t="inlineStr">
        <is>
          <t>待询价</t>
        </is>
      </c>
      <c r="K14" t="inlineStr">
        <is>
          <t>待询价</t>
        </is>
      </c>
      <c r="L14" t="inlineStr">
        <is>
          <t>待确认</t>
        </is>
      </c>
      <c r="M14" t="inlineStr">
        <is>
          <t>7轴力控协作机械臂；适合精细操作、力控抓取、研究型自动化流程；模型资源成熟。</t>
        </is>
      </c>
      <c r="N14" t="inlineStr">
        <is>
          <t>标准候选, FR3/Panda描述包资源丰富。</t>
        </is>
      </c>
      <c r="O14" t="inlineStr">
        <is>
          <t>HW-2 高通量自动化表达与克隆筛选</t>
        </is>
      </c>
      <c r="P14" t="inlineStr">
        <is>
          <t>在线调研补充</t>
        </is>
      </c>
      <c r="Q14" t="inlineStr">
        <is>
          <t>online</t>
        </is>
      </c>
      <c r="R14" t="inlineStr">
        <is>
          <t>标准/进口</t>
        </is>
      </c>
      <c r="S14" t="inlineStr">
        <is>
          <t>高</t>
        </is>
      </c>
      <c r="T14" t="inlineStr">
        <is>
          <t>Xacro示例：accessories/fr3_duo_mount_v0_3/fr3_duo_mount.xacro | robots/fr3/fr3.srdf.xacro | robots/fr3/fr3.urdf.xacro；STL示例：meshes/accessories/fr3_duo_mount_v0_3/collision/fr3_duo_cover.stl | meshes/accessories/fr3_duo_mount_v0_3/collision/fr3_duo_mount.stl | meshes/robots/fr3/collision/link0.stl；DAE示例：meshes/accessories/fr3_duo_mount_v0_3/visual/fr3_duo_cover.dae | meshes/accessories/fr3_duo_mount_v0_3/visual/fr3_duo_mount.dae</t>
        </is>
      </c>
      <c r="U14" s="2" t="str">
        <f>=HYPERLINK("https://github.com/frankarobotics/franka_description", "https://github.com/frankarobotics/franka_description")</f>
        <v>https://github.com/frankarobotics/franka_description</v>
      </c>
      <c r="V14" s="2" t="str">
        <f>=HYPERLINK("https://franka.de/", "https://franka.de/")</f>
        <v>https://franka.de/</v>
      </c>
      <c r="W14" t="inlineStr">
        <is>
          <t>有Xacro、STL、DAE，含夹爪/附件模型；适合MoveIt/ROS仿真。</t>
        </is>
      </c>
      <c r="X14" t="inlineStr">
        <is>
          <t>机械臂/协作机器人（自动化集成）</t>
        </is>
      </c>
      <c r="Y14"/>
      <c r="Z14"/>
    </row>
    <row r="15" ht="25.5" customHeight="1">
      <c r="A15" t="inlineStr">
        <is>
          <t>UFACTORY xArm 6</t>
        </is>
      </c>
      <c r="B15" t="inlineStr">
        <is>
          <t>HW-2 高通量自动化表达与克隆筛选</t>
        </is>
      </c>
      <c r="C15" t="inlineStr">
        <is>
          <t>机械臂/协作机器人（自动化集成）</t>
        </is>
      </c>
      <c r="D15" t="inlineStr">
        <is>
          <t>UFACTORY xArm 6</t>
        </is>
      </c>
      <c r="E15"/>
      <c r="F15" t="inlineStr">
        <is>
          <t>AI</t>
        </is>
      </c>
      <c r="G15" t="inlineStr">
        <is>
          <t>Xacro可用, STL可用</t>
        </is>
      </c>
      <c r="H15" t="inlineStr">
        <is>
          <t>是（中国）</t>
        </is>
      </c>
      <c r="I15" t="inlineStr">
        <is>
          <t>候选</t>
        </is>
      </c>
      <c r="J15" t="inlineStr">
        <is>
          <t>待询价</t>
        </is>
      </c>
      <c r="K15" t="inlineStr">
        <is>
          <t>待询价</t>
        </is>
      </c>
      <c r="L15" t="inlineStr">
        <is>
          <t>待确认</t>
        </is>
      </c>
      <c r="M15" t="inlineStr">
        <is>
          <t>6轴协作机械臂；适合实验室设备上下料、板架搬运和轻量自动化；国产候选，ROS生态资源较完整。</t>
        </is>
      </c>
      <c r="N15" t="inlineStr">
        <is>
          <t>国产候选, 模型资源完整。</t>
        </is>
      </c>
      <c r="O15" t="inlineStr">
        <is>
          <t>HW-2 高通量自动化表达与克隆筛选</t>
        </is>
      </c>
      <c r="P15" t="inlineStr">
        <is>
          <t>在线调研补充</t>
        </is>
      </c>
      <c r="Q15" t="inlineStr">
        <is>
          <t>online</t>
        </is>
      </c>
      <c r="R15" t="inlineStr">
        <is>
          <t>国产</t>
        </is>
      </c>
      <c r="S15" t="inlineStr">
        <is>
          <t>高</t>
        </is>
      </c>
      <c r="T15" t="inlineStr">
        <is>
          <t>Xacro示例：xarm_description/srdf/_xarm6_macro.srdf.xacro；STL示例：xarm_description/meshes/camera/realsense/collision/d435_with_cam_stand.stl | xarm_description/meshes/camera/realsense/visual/d435_with_cam_stand.stl | xarm_description/meshes/end_tool/collision/end_tool.stl；DAE示例：xarm_description/meshes/gripper/bio/left_finger.dae | xarm_description/meshes/gripper/bio/left_finger_g2.dae | xarm_description/meshes/gripper/bio/link_base.dae</t>
        </is>
      </c>
      <c r="U15" s="2" t="str">
        <f>=HYPERLINK("https://github.com/xArm-Developer/xarm_ros", "https://github.com/xArm-Developer/xarm_ros")</f>
        <v>https://github.com/xArm-Developer/xarm_ros</v>
      </c>
      <c r="V15" s="2" t="str">
        <f>=HYPERLINK("https://www.ufactory.cc/xarm-collaborative-robot/", "https://www.ufactory.cc/xarm-collaborative-robot/")</f>
        <v>https://www.ufactory.cc/xarm-collaborative-robot/</v>
      </c>
      <c r="W15" t="inlineStr">
        <is>
          <t>有Xacro、STL、DAE、OBJ及夹爪模型；可直接用于ROS/MoveIt。</t>
        </is>
      </c>
      <c r="X15" t="inlineStr">
        <is>
          <t>机械臂/协作机器人（自动化集成）</t>
        </is>
      </c>
      <c r="Y15"/>
      <c r="Z15"/>
    </row>
    <row r="16" ht="25.5" customHeight="1">
      <c r="A16" t="inlineStr">
        <is>
          <t>DOBOT CR5</t>
        </is>
      </c>
      <c r="B16" t="inlineStr">
        <is>
          <t>HW-2 高通量自动化表达与克隆筛选</t>
        </is>
      </c>
      <c r="C16" t="inlineStr">
        <is>
          <t>机械臂/协作机器人（自动化集成）</t>
        </is>
      </c>
      <c r="D16" t="inlineStr">
        <is>
          <t>DOBOT CR5</t>
        </is>
      </c>
      <c r="E16"/>
      <c r="F16" t="inlineStr">
        <is>
          <t>AI</t>
        </is>
      </c>
      <c r="G16" t="inlineStr">
        <is>
          <t>Xacro可用, STL可用</t>
        </is>
      </c>
      <c r="H16" t="inlineStr">
        <is>
          <t>是（中国）</t>
        </is>
      </c>
      <c r="I16" t="inlineStr">
        <is>
          <t>候选</t>
        </is>
      </c>
      <c r="J16" t="inlineStr">
        <is>
          <t>待询价</t>
        </is>
      </c>
      <c r="K16" t="inlineStr">
        <is>
          <t>待询价</t>
        </is>
      </c>
      <c r="L16" t="inlineStr">
        <is>
          <t>待确认</t>
        </is>
      </c>
      <c r="M16" t="inlineStr">
        <is>
          <t>6轴协作机械臂；适合实验室自动化转运、上下料和末端工具集成；国产候选，公开ROS2模型资源强。</t>
        </is>
      </c>
      <c r="N16" t="inlineStr">
        <is>
          <t>国产候选, 模型资源完整。</t>
        </is>
      </c>
      <c r="O16" t="inlineStr">
        <is>
          <t>HW-2 高通量自动化表达与克隆筛选</t>
        </is>
      </c>
      <c r="P16" t="inlineStr">
        <is>
          <t>在线调研补充</t>
        </is>
      </c>
      <c r="Q16" t="inlineStr">
        <is>
          <t>online</t>
        </is>
      </c>
      <c r="R16" t="inlineStr">
        <is>
          <t>国产</t>
        </is>
      </c>
      <c r="S16" t="inlineStr">
        <is>
          <t>高</t>
        </is>
      </c>
      <c r="T16" t="inlineStr">
        <is>
          <t>Xacro示例：cr5_moveit/config/cr5_robot.ros2_control.xacro | cr5_moveit/config/cr5_robot.urdf.xacro | cr5af_moveit/config/cr5af_robot.ros2_control.xacro；STL示例：cra_description/meshes/cr10/Link1.STL | cra_description/meshes/cr10/Link2.STL | cra_description/meshes/cr10/Link3.STL</t>
        </is>
      </c>
      <c r="U16" s="2" t="str">
        <f>=HYPERLINK("https://github.com/Dobot-Arm/DOBOT_6Axis_ROS2_V4", "https://github.com/Dobot-Arm/DOBOT_6Axis_ROS2_V4")</f>
        <v>https://github.com/Dobot-Arm/DOBOT_6Axis_ROS2_V4</v>
      </c>
      <c r="V16" s="2" t="str">
        <f>=HYPERLINK("https://www.dobot-robots.com/products/cr-series/cr5.html", "https://www.dobot-robots.com/products/cr-series/cr5.html")</f>
        <v>https://www.dobot-robots.com/products/cr-series/cr5.html</v>
      </c>
      <c r="W16" t="inlineStr">
        <is>
          <t>有CR系列Xacro与大量STL网格；适合ROS2/MoveIt仿真。</t>
        </is>
      </c>
      <c r="X16" t="inlineStr">
        <is>
          <t>机械臂/协作机器人（自动化集成）</t>
        </is>
      </c>
      <c r="Y16"/>
      <c r="Z16"/>
    </row>
    <row r="17" ht="25.5" customHeight="1">
      <c r="A17" t="inlineStr">
        <is>
          <t>Elephant Robotics myCobot Pro 630</t>
        </is>
      </c>
      <c r="B17" t="inlineStr">
        <is>
          <t>HW-2 高通量自动化表达与克隆筛选</t>
        </is>
      </c>
      <c r="C17" t="inlineStr">
        <is>
          <t>机械臂/协作机器人（自动化集成）</t>
        </is>
      </c>
      <c r="D17" t="inlineStr">
        <is>
          <t>Elephant Robotics myCobot Pro 630</t>
        </is>
      </c>
      <c r="E17"/>
      <c r="F17" t="inlineStr">
        <is>
          <t>AI</t>
        </is>
      </c>
      <c r="G17" t="inlineStr">
        <is>
          <t>Xacro可用, STL可用</t>
        </is>
      </c>
      <c r="H17" t="inlineStr">
        <is>
          <t>是（中国）</t>
        </is>
      </c>
      <c r="I17" t="inlineStr">
        <is>
          <t>候选</t>
        </is>
      </c>
      <c r="J17" t="inlineStr">
        <is>
          <t>待询价</t>
        </is>
      </c>
      <c r="K17" t="inlineStr">
        <is>
          <t>待询价</t>
        </is>
      </c>
      <c r="L17" t="inlineStr">
        <is>
          <t>待确认</t>
        </is>
      </c>
      <c r="M17" t="inlineStr">
        <is>
          <t>6轴协作/教育科研机械臂；适合轻量级实验室自动化原型、夹爪与小负载转运；国产候选。</t>
        </is>
      </c>
      <c r="N17" t="inlineStr">
        <is>
          <t>国产候选, STL网格明确, Xacro覆盖部分型号。</t>
        </is>
      </c>
      <c r="O17" t="inlineStr">
        <is>
          <t>HW-2 高通量自动化表达与克隆筛选</t>
        </is>
      </c>
      <c r="P17" t="inlineStr">
        <is>
          <t>在线调研补充</t>
        </is>
      </c>
      <c r="Q17" t="inlineStr">
        <is>
          <t>online</t>
        </is>
      </c>
      <c r="R17" t="inlineStr">
        <is>
          <t>国产</t>
        </is>
      </c>
      <c r="S17" t="inlineStr">
        <is>
          <t>高</t>
        </is>
      </c>
      <c r="T17" t="inlineStr">
        <is>
          <t>Xacro示例：mycobot_description/urdf/myarm_c650/myarm_c650.urdf.xacro | mycobot_description/urdf/myarm_m/myarm_m.urdf.xacro；STL示例：mycobot_description/urdf/mycobot_pro_630/meshes/J1_Link.STL | mycobot_description/urdf/mycobot_pro_630/meshes/J2_Link.STL | mycobot_description/urdf/mycobot_pro_630/meshes/J3_Link.STL；DAE示例：mycobot_description/urdf/adaptive_gripper/gripper_base.dae | mycobot_description/urdf/adaptive_gripper/gripper_left1.dae | mycobot_description/urdf/adaptive_gripper/gripper_left2.dae；STEP示例：mycobot_description/urdf/mycobot_280_arduino/mycobot_step.STEP | mycobot_description/urdf/mycobot_280_m5/mycobot_step.STEP</t>
        </is>
      </c>
      <c r="U17" s="2" t="str">
        <f>=HYPERLINK("https://github.com/elephantrobotics/mycobot_ros", "https://github.com/elephantrobotics/mycobot_ros")</f>
        <v>https://github.com/elephantrobotics/mycobot_ros</v>
      </c>
      <c r="V17" s="2" t="str">
        <f>=HYPERLINK("https://www.elephantrobotics.com/en/mycobot-pro-630-en/", "https://www.elephantrobotics.com/en/mycobot-pro-630-en/")</f>
        <v>https://www.elephantrobotics.com/en/mycobot-pro-630-en/</v>
      </c>
      <c r="W17" t="inlineStr">
        <is>
          <t>myCobot Pro 630有STL网格；仓库存在部分Xacro但Pro 630需确认/补建Xacro。</t>
        </is>
      </c>
      <c r="X17" t="inlineStr">
        <is>
          <t>机械臂/协作机器人（自动化集成）</t>
        </is>
      </c>
      <c r="Y17"/>
      <c r="Z17"/>
    </row>
    <row r="18" ht="25.5" customHeight="1">
      <c r="A18" t="inlineStr">
        <is>
          <t>AUBO i5</t>
        </is>
      </c>
      <c r="B18" t="inlineStr">
        <is>
          <t>HW-2 高通量自动化表达与克隆筛选</t>
        </is>
      </c>
      <c r="C18" t="inlineStr">
        <is>
          <t>机械臂/协作机器人（自动化集成）</t>
        </is>
      </c>
      <c r="D18" t="inlineStr">
        <is>
          <t>AUBO i5</t>
        </is>
      </c>
      <c r="E18"/>
      <c r="F18" t="inlineStr">
        <is>
          <t>AI</t>
        </is>
      </c>
      <c r="G18" t="inlineStr">
        <is>
          <t>Xacro可用, 未发现STL/网格</t>
        </is>
      </c>
      <c r="H18" t="inlineStr">
        <is>
          <t>是（中国）</t>
        </is>
      </c>
      <c r="I18" t="inlineStr">
        <is>
          <t>候选</t>
        </is>
      </c>
      <c r="J18" t="inlineStr">
        <is>
          <t>待询价</t>
        </is>
      </c>
      <c r="K18" t="inlineStr">
        <is>
          <t>待询价</t>
        </is>
      </c>
      <c r="L18" t="inlineStr">
        <is>
          <t>待确认</t>
        </is>
      </c>
      <c r="M18" t="inlineStr">
        <is>
          <t>6轴协作机械臂；常见于工业/科研自动化上下料；国产候选。</t>
        </is>
      </c>
      <c r="N18" t="inlineStr">
        <is>
          <t>国产候选, 公开ROS2仓库仅发现SRDF/Xacro配置, 未发现STL网格。</t>
        </is>
      </c>
      <c r="O18" t="inlineStr">
        <is>
          <t>HW-2 高通量自动化表达与克隆筛选</t>
        </is>
      </c>
      <c r="P18" t="inlineStr">
        <is>
          <t>在线调研补充</t>
        </is>
      </c>
      <c r="Q18" t="inlineStr">
        <is>
          <t>online</t>
        </is>
      </c>
      <c r="R18" t="inlineStr">
        <is>
          <t>国产</t>
        </is>
      </c>
      <c r="S18" t="inlineStr">
        <is>
          <t>中</t>
        </is>
      </c>
      <c r="T18" t="inlineStr">
        <is>
          <t>Xacro示例：aubo_moveit_config/config/aubo_i5.srdf.xacro | aubo_moveit_config/config/aubo_i5_macro.srdf.xacro</t>
        </is>
      </c>
      <c r="U18" s="2" t="str">
        <f>=HYPERLINK("https://github.com/AuboRobot/aubo_ros2_driver", "https://github.com/AuboRobot/aubo_ros2_driver")</f>
        <v>https://github.com/AuboRobot/aubo_ros2_driver</v>
      </c>
      <c r="V18" s="2" t="str">
        <f>=HYPERLINK("https://www.aubo-robotics.cn/", "https://www.aubo-robotics.cn/")</f>
        <v>https://www.aubo-robotics.cn/</v>
      </c>
      <c r="W18" t="inlineStr">
        <is>
          <t>公开仓库发现aubo_i5 SRDF Xacro，但未发现STL；仿真建模可用性低于xArm/DOBOT。</t>
        </is>
      </c>
      <c r="X18" t="inlineStr">
        <is>
          <t>机械臂/协作机器人（自动化集成）</t>
        </is>
      </c>
      <c r="Y18"/>
      <c r="Z18"/>
    </row>
    <row r="19" ht="25.5" customHeight="1">
      <c r="A19" t="inlineStr">
        <is>
          <t>高通量自动化液体处理工作站 / 灵活8通道移液工作站 / 96通道移液工作站</t>
        </is>
      </c>
      <c r="B19" t="inlineStr">
        <is>
          <t>HW-2 高通量自动化表达与克隆筛选</t>
        </is>
      </c>
      <c r="C19" t="inlineStr">
        <is>
          <t>高通量自动化液体处理工作站 / 灵活8通道移液工作站 / 96通道移液工作站</t>
        </is>
      </c>
      <c r="D19" t="inlineStr">
        <is>
          <t>通用</t>
        </is>
      </c>
      <c r="E19"/>
      <c r="F19" t="inlineStr">
        <is>
          <t>列表, 流程</t>
        </is>
      </c>
      <c r="G19"/>
      <c r="H19" t="inlineStr">
        <is>
          <t>可国产化</t>
        </is>
      </c>
      <c r="I19" t="inlineStr">
        <is>
          <t>1</t>
        </is>
      </c>
      <c r="J19" t="inlineStr">
        <is>
          <t>470</t>
        </is>
      </c>
      <c r="K19" t="inlineStr">
        <is>
          <t>470</t>
        </is>
      </c>
      <c r="L19" t="inlineStr">
        <is>
          <t>10~12（估算·待实测核定）</t>
        </is>
      </c>
      <c r="M19" t="inlineStr">
        <is>
          <t>1. 通道配置：≥8通道固定间距臂 + ≥96通道同步移液头，可独立协同运行； 2. 移液精度：CV&lt;0.5%（≥10μL），最小移液量≤1μL，死体积&lt;2μL； 3. 兼容格式：96/384孔板及1.5mL/2mL深孔板全规格覆盖，SBS标准； 4. 通量：≥768个样品/天（96深孔板×8批次/天）； 5. 软件：开放SDK（Python/C++ API），支持SiLA2标准驱动，与自研LIMS/调度系统标准接口互通； 6. 控制：OPC-UA或TCP/IP协议与工控机通信，支持自动化流程编排； 7. 安全：液位感应防碰撞，溅液检测保护。
合并自「灵活8通道移液工作站」：通用厂商仪器；流程PPT出现：灵活8通道移液工作站；用于试剂配置、分装、均一化、涂布、体外表达配置等。
合并自「96通道移液工作站」：通用厂商仪器；流程PPT出现：96通道移液工作站；用于PCR体系配置、纯化、磁珠纯化、Gibson组装体系配置、质粒提取等。</t>
        </is>
      </c>
      <c r="N19" t="inlineStr">
        <is>
          <t>整套作固定资产, 运输+安装+调试/验证费计入原值, 10年折旧</t>
        </is>
      </c>
      <c r="O19" t="inlineStr">
        <is>
          <t>HW-2 高通量自动化表达与克隆筛选</t>
        </is>
      </c>
      <c r="P19" t="inlineStr">
        <is>
          <t>高通量自动化液体处理工作站</t>
        </is>
      </c>
      <c r="Q19" t="inlineStr">
        <is>
          <t>19</t>
        </is>
      </c>
      <c r="R19"/>
      <c r="S19"/>
      <c r="T19"/>
      <c r="U19" s="2"/>
      <c r="V19" s="2"/>
      <c r="W19"/>
      <c r="X19" t="inlineStr">
        <is>
          <t>HW-2 高通量自动化表达与克隆筛选</t>
        </is>
      </c>
      <c r="Y19"/>
      <c r="Z19"/>
    </row>
    <row r="20" ht="25.5" customHeight="1">
      <c r="A20" t="inlineStr">
        <is>
          <t>微量振荡培养箱与恒温板 / 震荡培养箱</t>
        </is>
      </c>
      <c r="B20" t="inlineStr">
        <is>
          <t>HW-2 高通量自动化表达与克隆筛选</t>
        </is>
      </c>
      <c r="C20" t="inlineStr">
        <is>
          <t>微量振荡培养箱与恒温板 / 震荡培养箱</t>
        </is>
      </c>
      <c r="D20" t="inlineStr">
        <is>
          <t>通用</t>
        </is>
      </c>
      <c r="E20"/>
      <c r="F20" t="inlineStr">
        <is>
          <t>列表, 流程</t>
        </is>
      </c>
      <c r="G20"/>
      <c r="H20" t="inlineStr">
        <is>
          <t>可国产化</t>
        </is>
      </c>
      <c r="I20" t="inlineStr">
        <is>
          <t>1</t>
        </is>
      </c>
      <c r="J20" t="inlineStr">
        <is>
          <t>470</t>
        </is>
      </c>
      <c r="K20" t="inlineStr">
        <is>
          <t>470</t>
        </is>
      </c>
      <c r="L20" t="inlineStr">
        <is>
          <t>10~12（估算·待实测核定）</t>
        </is>
      </c>
      <c r="M20" t="inlineStr">
        <is>
          <t>1. 容量：≥6块96深孔板（DWP）同时培养，标准SBS格式； 2. 温控：范围18~60℃，精度±0.1℃，温度均一性≤±0.5℃（空载）； 3. 振荡：转速200~1500rpm，振幅3mm，精度±1rpm； 4. 数据采集：RS-232/OPC-UA双协议，实时采集温度/转速曲线并自动推送至LIMS； 5. 密封：防蒸发盖设计，支持48h以上长周期培养。
合并自「震荡培养箱」：通用厂商仪器；流程PPT出现：震荡培养箱1；37°C 60/75min复苏/培养。
合并自「震荡培养箱」：通用厂商仪器；流程PPT出现：震荡培养箱2；4°C旋转混匀、清洗、洗脱等蛋白纯化步骤。</t>
        </is>
      </c>
      <c r="N20" t="inlineStr">
        <is>
          <t>整套作固定资产, 运输+安装+调试/验证费计入原值, 10年折旧</t>
        </is>
      </c>
      <c r="O20" t="inlineStr">
        <is>
          <t>HW-2 高通量自动化表达与克隆筛选</t>
        </is>
      </c>
      <c r="P20" t="inlineStr">
        <is>
          <t>微量振荡培养箱与恒温板</t>
        </is>
      </c>
      <c r="Q20" t="inlineStr">
        <is>
          <t>27</t>
        </is>
      </c>
      <c r="R20"/>
      <c r="S20"/>
      <c r="T20"/>
      <c r="U20" s="2"/>
      <c r="V20" s="2"/>
      <c r="W20"/>
      <c r="X20" t="inlineStr">
        <is>
          <t>HW-2 高通量自动化表达与克隆筛选</t>
        </is>
      </c>
      <c r="Y20"/>
      <c r="Z20"/>
    </row>
    <row r="21" ht="25.5" customHeight="1">
      <c r="A21" t="inlineStr">
        <is>
          <t>多孔板离心机 / RT离心机 / 4°C离心机</t>
        </is>
      </c>
      <c r="B21" t="inlineStr">
        <is>
          <t>HW-2 高通量自动化表达与克隆筛选</t>
        </is>
      </c>
      <c r="C21" t="inlineStr">
        <is>
          <t>多孔板离心机 / RT离心机 / 4°C离心机</t>
        </is>
      </c>
      <c r="D21" t="inlineStr">
        <is>
          <t>通用</t>
        </is>
      </c>
      <c r="E21"/>
      <c r="F21" t="inlineStr">
        <is>
          <t>列表, 流程</t>
        </is>
      </c>
      <c r="G21"/>
      <c r="H21" t="inlineStr">
        <is>
          <t>可国产化</t>
        </is>
      </c>
      <c r="I21" t="inlineStr">
        <is>
          <t>1</t>
        </is>
      </c>
      <c r="J21" t="inlineStr">
        <is>
          <t>470</t>
        </is>
      </c>
      <c r="K21" t="inlineStr">
        <is>
          <t>470</t>
        </is>
      </c>
      <c r="L21" t="inlineStr">
        <is>
          <t>10~12（估算·待实测核定）</t>
        </is>
      </c>
      <c r="M21" t="inlineStr">
        <is>
          <t>1. 离心机：最大转速≥4000rpm，最大离心力≥3000×g； 2. 离心兼容：适配96深孔板（DWP）≥4块同时离心，1.5/2mL离心管同步兼容； 4. 控制：RS-232串口协议，工控机远程程序控制及参数记录；
合并自「RT离心机」：通用厂商仪器；流程PPT出现：RT离心2；用于常温离心、质粒提取/纯化相关步骤。
合并自「4°C离心机」：通用厂商仪器；流程PPT出现：4°C离心1；用于蛋白纯化低温离心步骤。</t>
        </is>
      </c>
      <c r="N21" t="inlineStr">
        <is>
          <t>整套作固定资产, 运输+安装+调试/验证费计入原值, 10年折旧</t>
        </is>
      </c>
      <c r="O21" t="inlineStr">
        <is>
          <t>HW-2 高通量自动化表达与克隆筛选</t>
        </is>
      </c>
      <c r="P21" t="inlineStr">
        <is>
          <t>微型培养与多孔板离心/超声破碎仪</t>
        </is>
      </c>
      <c r="Q21" t="inlineStr">
        <is>
          <t>33</t>
        </is>
      </c>
      <c r="R21"/>
      <c r="S21"/>
      <c r="T21"/>
      <c r="U21" s="2"/>
      <c r="V21" s="2"/>
      <c r="W21"/>
      <c r="X21" t="inlineStr">
        <is>
          <t>HW-2 高通量自动化表达与克隆筛选</t>
        </is>
      </c>
      <c r="Y21"/>
      <c r="Z21"/>
    </row>
    <row r="22" ht="25.5" customHeight="1">
      <c r="A22" t="inlineStr">
        <is>
          <t>超声破碎仪</t>
        </is>
      </c>
      <c r="B22" t="inlineStr">
        <is>
          <t>HW-2 高通量自动化表达与克隆筛选</t>
        </is>
      </c>
      <c r="C22" t="inlineStr">
        <is>
          <t>超声破碎仪</t>
        </is>
      </c>
      <c r="D22" t="inlineStr">
        <is>
          <t>通用</t>
        </is>
      </c>
      <c r="E22"/>
      <c r="F22" t="inlineStr">
        <is>
          <t>列表</t>
        </is>
      </c>
      <c r="G22"/>
      <c r="H22" t="inlineStr">
        <is>
          <t>可国产化</t>
        </is>
      </c>
      <c r="I22" t="inlineStr">
        <is>
          <t>1</t>
        </is>
      </c>
      <c r="J22" t="inlineStr">
        <is>
          <t>470</t>
        </is>
      </c>
      <c r="K22" t="inlineStr">
        <is>
          <t>470</t>
        </is>
      </c>
      <c r="L22" t="inlineStr">
        <is>
          <t>10~12（估算·待实测核定）</t>
        </is>
      </c>
      <c r="M22" t="inlineStr">
        <is>
          <t>3. 超声破碎仪：频率20kHz，输出功率≥600W，96样品并行破碎，单批处理时间&lt;10min； 4. 控制：RS-232串口协议，工控机远程程序控制及参数记录；</t>
        </is>
      </c>
      <c r="N22" t="inlineStr">
        <is>
          <t>整套作固定资产, 运输+安装+调试/验证费计入原值, 10年折旧</t>
        </is>
      </c>
      <c r="O22" t="inlineStr">
        <is>
          <t>HW-2 高通量自动化表达与克隆筛选</t>
        </is>
      </c>
      <c r="P22" t="inlineStr">
        <is>
          <t>微型培养与多孔板离心/超声破碎仪</t>
        </is>
      </c>
      <c r="Q22" t="inlineStr">
        <is>
          <t>33</t>
        </is>
      </c>
      <c r="R22"/>
      <c r="S22"/>
      <c r="T22"/>
      <c r="U22" s="2"/>
      <c r="V22" s="2"/>
      <c r="W22"/>
      <c r="X22" t="inlineStr">
        <is>
          <t>HW-2 高通量自动化表达与克隆筛选</t>
        </is>
      </c>
      <c r="Y22"/>
      <c r="Z22"/>
    </row>
    <row r="23" ht="25.5" customHeight="1">
      <c r="A23" t="inlineStr">
        <is>
          <t>全自动菌落挑选与接种系统 / 挑菌仪</t>
        </is>
      </c>
      <c r="B23" t="inlineStr">
        <is>
          <t>HW-2 高通量自动化表达与克隆筛选</t>
        </is>
      </c>
      <c r="C23" t="inlineStr">
        <is>
          <t>全自动菌落挑选与接种系统 / 挑菌仪</t>
        </is>
      </c>
      <c r="D23" t="inlineStr">
        <is>
          <t>通用</t>
        </is>
      </c>
      <c r="E23"/>
      <c r="F23" t="inlineStr">
        <is>
          <t>列表, 参考, 流程</t>
        </is>
      </c>
      <c r="G23"/>
      <c r="H23" t="inlineStr">
        <is>
          <t>可国产化</t>
        </is>
      </c>
      <c r="I23" t="inlineStr">
        <is>
          <t>1</t>
        </is>
      </c>
      <c r="J23" t="inlineStr">
        <is>
          <t>470</t>
        </is>
      </c>
      <c r="K23" t="inlineStr">
        <is>
          <t>470</t>
        </is>
      </c>
      <c r="L23" t="inlineStr">
        <is>
          <t>10~12（估算·待实测核定）</t>
        </is>
      </c>
      <c r="M23" t="inlineStr">
        <is>
          <t>1. 挑选速度：≥2000个菌落/h（固体培养基平板）； 2. 荧光筛选：支持GFP（激发488nm）、RFP（激发561nm）通道，GFP检出率≥95%； 3. 孔板兼容：支持96孔板及384孔板格式自动接种； 4. 视觉系统：高分辨率CCD成像，菌落识别直径≥0.2mm，支持形态学过滤； 5. 软件：随机配套菌落挑选控制软件，开放API与LIMS集成；
合并自「挑菌仪」：通用厂商仪器；流程PPT出现：挑菌仪；用于挑单克隆/挑菌。</t>
        </is>
      </c>
      <c r="N23" t="inlineStr">
        <is>
          <t>整套作固定资产, 运输+安装+调试/验证费计入原值, 10年折旧</t>
        </is>
      </c>
      <c r="O23" t="inlineStr">
        <is>
          <t>HW-2 高通量自动化表达与克隆筛选</t>
        </is>
      </c>
      <c r="P23" t="inlineStr">
        <is>
          <t>全自动菌落挑选与接种系统</t>
        </is>
      </c>
      <c r="Q23" t="inlineStr">
        <is>
          <t>38</t>
        </is>
      </c>
      <c r="R23"/>
      <c r="S23"/>
      <c r="T23"/>
      <c r="U23" s="2"/>
      <c r="V23" s="2"/>
      <c r="W23"/>
      <c r="X23" t="inlineStr">
        <is>
          <t>HW-2 高通量自动化表达与克隆筛选</t>
        </is>
      </c>
      <c r="Y23"/>
      <c r="Z23" t="inlineStr">
        <is>
          <t>Cytiva代理</t>
        </is>
      </c>
    </row>
    <row r="24" ht="25.5" customHeight="1">
      <c r="A24" t="inlineStr">
        <is>
          <t>多模式蛋白稳定性分析系统</t>
        </is>
      </c>
      <c r="B24" t="inlineStr">
        <is>
          <t>HW-4 发酵过程在线监测与蛋白稳定性表征</t>
        </is>
      </c>
      <c r="C24" t="inlineStr">
        <is>
          <t>多模式蛋白稳定性分析系统</t>
        </is>
      </c>
      <c r="D24" t="inlineStr">
        <is>
          <t>通用</t>
        </is>
      </c>
      <c r="E24"/>
      <c r="F24" t="inlineStr">
        <is>
          <t>列表</t>
        </is>
      </c>
      <c r="G24"/>
      <c r="H24" t="inlineStr">
        <is>
          <t>蛋白稳定性分析为进口可国产化+自动化改造, 其余可国产化</t>
        </is>
      </c>
      <c r="I24" t="inlineStr">
        <is>
          <t>1</t>
        </is>
      </c>
      <c r="J24" t="inlineStr">
        <is>
          <t>435</t>
        </is>
      </c>
      <c r="K24" t="inlineStr">
        <is>
          <t>435</t>
        </is>
      </c>
      <c r="L24" t="inlineStr">
        <is>
          <t>1.4~2.6（估算·待实测核定）</t>
        </is>
      </c>
      <c r="M24" t="inlineStr">
        <is>
          <t>1. 检测格式：96孔板，每批次≥96个样品同步检测； 2. DSF：Tm检测范围15~95℃，精度±0.3℃，Tagg聚集温度同步检出； 3. DLS：粒径范围0.4nm~10μm，同步评估蛋白均一性及聚集状态； 4. 通量：每批约3h完成96样品完整DSF+DLS检测； 5. 数据接口：REST API自动导出JSON至LIMS，支持多批次趋势分析； 6. 软件：随机配套多模式蛋白稳定性分析软件，支持DSF/DLS数据处理与趋势分析。</t>
        </is>
      </c>
      <c r="N24" t="inlineStr">
        <is>
          <t>整套作固定资产, 运输+安装+调试/验证费计入原值, 10年折旧</t>
        </is>
      </c>
      <c r="O24" t="inlineStr">
        <is>
          <t>HW-4 发酵过程在线监测与蛋白稳定性表征</t>
        </is>
      </c>
      <c r="P24" t="inlineStr">
        <is>
          <t>多模式蛋白稳定性分析系统</t>
        </is>
      </c>
      <c r="Q24" t="inlineStr">
        <is>
          <t>62</t>
        </is>
      </c>
      <c r="R24"/>
      <c r="S24"/>
      <c r="T24"/>
      <c r="U24" s="2"/>
      <c r="V24" s="2"/>
      <c r="W24"/>
      <c r="X24" t="inlineStr">
        <is>
          <t>HW-4 发酵过程在线监测与蛋白稳定性表征</t>
        </is>
      </c>
      <c r="Y24"/>
      <c r="Z24"/>
    </row>
    <row r="25" ht="25.5" customHeight="1">
      <c r="A25" t="inlineStr">
        <is>
          <t>多功能微孔板读板仪 / 酶标仪</t>
        </is>
      </c>
      <c r="B25" t="inlineStr">
        <is>
          <t>HW-4 发酵过程在线监测与蛋白稳定性表征</t>
        </is>
      </c>
      <c r="C25" t="inlineStr">
        <is>
          <t>多功能微孔板读板仪 / 酶标仪</t>
        </is>
      </c>
      <c r="D25" t="inlineStr">
        <is>
          <t>通用</t>
        </is>
      </c>
      <c r="E25"/>
      <c r="F25" t="inlineStr">
        <is>
          <t>列表, 参考</t>
        </is>
      </c>
      <c r="G25"/>
      <c r="H25" t="inlineStr">
        <is>
          <t>蛋白稳定性分析为进口可国产化+自动化改造, 其余可国产化</t>
        </is>
      </c>
      <c r="I25" t="inlineStr">
        <is>
          <t>1</t>
        </is>
      </c>
      <c r="J25" t="inlineStr">
        <is>
          <t>435</t>
        </is>
      </c>
      <c r="K25" t="inlineStr">
        <is>
          <t>435</t>
        </is>
      </c>
      <c r="L25" t="inlineStr">
        <is>
          <t>1.4~2.6（估算·待实测核定）</t>
        </is>
      </c>
      <c r="M25" t="inlineStr">
        <is>
          <t>1. 检测模式：吸光度（UV-Vis 230~1000nm）、荧光强度、荧光偏振（FP）、化学发光≥4种； 2. 兼容格式：6/12/24/48/96/384孔板全规格，读板时间384孔&lt;60s； 3. 吸光精度：±0.5%（A=0~3），波长精度±1nm；荧光均一性孔间CV&lt;2%； 4. 数据接口：开放API（TCP/IP），自动导出至LIMS，支持动力学检测模式。</t>
        </is>
      </c>
      <c r="N25" t="inlineStr">
        <is>
          <t>整套作固定资产, 运输+安装+调试/验证费计入原值, 10年折旧</t>
        </is>
      </c>
      <c r="O25" t="inlineStr">
        <is>
          <t>HW-4 发酵过程在线监测与蛋白稳定性表征</t>
        </is>
      </c>
      <c r="P25" t="inlineStr">
        <is>
          <t>多功能微孔板读板仪</t>
        </is>
      </c>
      <c r="Q25" t="inlineStr">
        <is>
          <t>69</t>
        </is>
      </c>
      <c r="R25"/>
      <c r="S25"/>
      <c r="T25"/>
      <c r="U25" s="2"/>
      <c r="V25" s="2"/>
      <c r="W25"/>
      <c r="X25" t="inlineStr">
        <is>
          <t>HW-4 发酵过程在线监测与蛋白稳定性表征</t>
        </is>
      </c>
      <c r="Y25"/>
      <c r="Z25" t="inlineStr">
        <is>
          <t>Cytiva代理</t>
        </is>
      </c>
    </row>
    <row r="26" ht="25.5" customHeight="1">
      <c r="A26" t="inlineStr">
        <is>
          <t>毛细管电泳SDS蛋白分析系统</t>
        </is>
      </c>
      <c r="B26" t="inlineStr">
        <is>
          <t>HW-4 发酵过程在线监测与蛋白稳定性表征</t>
        </is>
      </c>
      <c r="C26" t="inlineStr">
        <is>
          <t>毛细管电泳SDS蛋白分析系统</t>
        </is>
      </c>
      <c r="D26" t="inlineStr">
        <is>
          <t>通用</t>
        </is>
      </c>
      <c r="E26"/>
      <c r="F26" t="inlineStr">
        <is>
          <t>列表, 参考</t>
        </is>
      </c>
      <c r="G26"/>
      <c r="H26" t="inlineStr">
        <is>
          <t>蛋白稳定性分析为进口可国产化+自动化改造, 其余可国产化</t>
        </is>
      </c>
      <c r="I26" t="inlineStr">
        <is>
          <t>1</t>
        </is>
      </c>
      <c r="J26" t="inlineStr">
        <is>
          <t>435</t>
        </is>
      </c>
      <c r="K26" t="inlineStr">
        <is>
          <t>435</t>
        </is>
      </c>
      <c r="L26" t="inlineStr">
        <is>
          <t>1.4~2.6（估算·待实测核定）</t>
        </is>
      </c>
      <c r="M26" t="inlineStr">
        <is>
          <t>1. 检测原理：芯片式毛细管SDS-PAGE，自动化上样； 2. 速度：&lt;3min/样品，96样品/批； 3. 检测范围：蛋白分子量14~200kDa，最低检出量≥0.2ng/μL； 4. 分辨率：分子量区分精度&lt;0.5kDa，纯度定量RSD&lt;3%； 5. 软件：随机配套分析SDK，支持电子记录与电子签名合规（审计追踪、数据完整性）的数据存储； 6. 通用性：芯片式毛细管电泳架构，分离与定量性能达到主流CE-SDS系统同等水平。</t>
        </is>
      </c>
      <c r="N26" t="inlineStr">
        <is>
          <t>整套作固定资产, 运输+安装+调试/验证费计入原值, 10年折旧</t>
        </is>
      </c>
      <c r="O26" t="inlineStr">
        <is>
          <t>HW-4 发酵过程在线监测与蛋白稳定性表征</t>
        </is>
      </c>
      <c r="P26" t="inlineStr">
        <is>
          <t>毛细管电泳SDS蛋白分析系统</t>
        </is>
      </c>
      <c r="Q26" t="inlineStr">
        <is>
          <t>74</t>
        </is>
      </c>
      <c r="R26"/>
      <c r="S26"/>
      <c r="T26"/>
      <c r="U26" s="2"/>
      <c r="V26" s="2"/>
      <c r="W26"/>
      <c r="X26" t="inlineStr">
        <is>
          <t>HW-4 发酵过程在线监测与蛋白稳定性表征</t>
        </is>
      </c>
      <c r="Y26"/>
      <c r="Z26" t="inlineStr">
        <is>
          <t>Cytiva代理</t>
        </is>
      </c>
    </row>
    <row r="27" ht="25.5" customHeight="1">
      <c r="A27" t="inlineStr">
        <is>
          <t>在线拉曼/近红外过程分析探头</t>
        </is>
      </c>
      <c r="B27" t="inlineStr">
        <is>
          <t>HW-4 发酵过程在线监测与蛋白稳定性表征</t>
        </is>
      </c>
      <c r="C27" t="inlineStr">
        <is>
          <t>在线拉曼/近红外过程分析探头</t>
        </is>
      </c>
      <c r="D27" t="inlineStr">
        <is>
          <t>通用</t>
        </is>
      </c>
      <c r="E27"/>
      <c r="F27" t="inlineStr">
        <is>
          <t>列表</t>
        </is>
      </c>
      <c r="G27"/>
      <c r="H27" t="inlineStr">
        <is>
          <t>蛋白稳定性分析为进口可国产化+自动化改造, 其余可国产化</t>
        </is>
      </c>
      <c r="I27" t="inlineStr">
        <is>
          <t>1</t>
        </is>
      </c>
      <c r="J27" t="inlineStr">
        <is>
          <t>435</t>
        </is>
      </c>
      <c r="K27" t="inlineStr">
        <is>
          <t>435</t>
        </is>
      </c>
      <c r="L27" t="inlineStr">
        <is>
          <t>1.4~2.6（估算·待实测核定）</t>
        </is>
      </c>
      <c r="M27" t="inlineStr">
        <is>
          <t>1. 检测原理：785nm激发近红外拉曼，探头直接插入发酵罐壁，零采样滞后； 2. 监测指标：葡萄糖、乙醇、乳酸、甘油等≥6种代谢物在线定量，浓度误差≤5%； 3. 更新频率：光谱采集与预测输出≤30s/次； 4. 接口：OPC-UA协议原生输出，直连发酵系统及自研发酵优化软件； 5. 软件：随机配套光谱预处理软件，含PLS/PCR建模功能（模型库）； 6. 工艺适配：工业级在线拉曼/近红外过程分析探头，满足发酵罐在线连续监测的防护与稳定性要求。</t>
        </is>
      </c>
      <c r="N27" t="inlineStr">
        <is>
          <t>整套作固定资产, 运输+安装+调试/验证费计入原值, 10年折旧</t>
        </is>
      </c>
      <c r="O27" t="inlineStr">
        <is>
          <t>HW-4 发酵过程在线监测与蛋白稳定性表征</t>
        </is>
      </c>
      <c r="P27" t="inlineStr">
        <is>
          <t>在线拉曼/近红外过程分析探头</t>
        </is>
      </c>
      <c r="Q27" t="inlineStr">
        <is>
          <t>55</t>
        </is>
      </c>
      <c r="R27"/>
      <c r="S27"/>
      <c r="T27"/>
      <c r="U27" s="2"/>
      <c r="V27" s="2"/>
      <c r="W27"/>
      <c r="X27" t="inlineStr">
        <is>
          <t>HW-4 发酵过程在线监测与蛋白稳定性表征</t>
        </is>
      </c>
      <c r="Y27"/>
      <c r="Z27"/>
    </row>
    <row r="28" ht="25.5" customHeight="1">
      <c r="A28" t="inlineStr">
        <is>
          <t>HW-5 高灵敏液质联用定量分析</t>
        </is>
      </c>
      <c r="B28" t="inlineStr">
        <is>
          <t>HW-5 高灵敏液质联用定量分析</t>
        </is>
      </c>
      <c r="C28" t="inlineStr">
        <is>
          <t>LC-MS/MS 三重四极杆液质联用系统</t>
        </is>
      </c>
      <c r="D28" t="inlineStr">
        <is>
          <t>总计</t>
        </is>
      </c>
      <c r="E28"/>
      <c r="F28" t="inlineStr">
        <is>
          <t>列表</t>
        </is>
      </c>
      <c r="G28"/>
      <c r="H28" t="inlineStr">
        <is>
          <t>可国产化</t>
        </is>
      </c>
      <c r="I28" t="inlineStr">
        <is>
          <t>1</t>
        </is>
      </c>
      <c r="J28" t="inlineStr">
        <is>
          <t>380</t>
        </is>
      </c>
      <c r="K28" t="inlineStr">
        <is>
          <t>380</t>
        </is>
      </c>
      <c r="L28" t="inlineStr">
        <is>
          <t>3~5（估算·待实测核定）</t>
        </is>
      </c>
      <c r="M28" t="inlineStr">
        <is>
          <t>包含设备类型：LC-MS/MS 三重四极杆液质联用系统</t>
        </is>
      </c>
      <c r="N28" t="inlineStr">
        <is>
          <t>整套作固定资产, 运输+安装+调试/验证费计入原值, 10年折旧</t>
        </is>
      </c>
      <c r="O28" t="inlineStr">
        <is>
          <t>HW-5 高灵敏液质联用定量分析</t>
        </is>
      </c>
      <c r="P28"/>
      <c r="Q28"/>
      <c r="R28"/>
      <c r="S28"/>
      <c r="T28"/>
      <c r="U28" s="2"/>
      <c r="V28" s="2"/>
      <c r="W28"/>
      <c r="X28" t="inlineStr">
        <is>
          <t>北京实验室合成生物学</t>
        </is>
      </c>
      <c r="Y28"/>
      <c r="Z28"/>
    </row>
    <row r="29" ht="25.5" customHeight="1">
      <c r="A29" t="inlineStr">
        <is>
          <t>LC-MS/MS 三重四极杆液质联用系统</t>
        </is>
      </c>
      <c r="B29" t="inlineStr">
        <is>
          <t>HW-5 高灵敏液质联用定量分析</t>
        </is>
      </c>
      <c r="C29" t="inlineStr">
        <is>
          <t>LC-MS/MS 三重四极杆液质联用系统</t>
        </is>
      </c>
      <c r="D29" t="inlineStr">
        <is>
          <t>通用</t>
        </is>
      </c>
      <c r="E29"/>
      <c r="F29" t="inlineStr">
        <is>
          <t>列表, 参考</t>
        </is>
      </c>
      <c r="G29"/>
      <c r="H29" t="inlineStr">
        <is>
          <t>可国产化</t>
        </is>
      </c>
      <c r="I29" t="inlineStr">
        <is>
          <t>1</t>
        </is>
      </c>
      <c r="J29" t="inlineStr">
        <is>
          <t>380</t>
        </is>
      </c>
      <c r="K29" t="inlineStr">
        <is>
          <t>380</t>
        </is>
      </c>
      <c r="L29" t="inlineStr">
        <is>
          <t>3~5（估算·待实测核定）</t>
        </is>
      </c>
      <c r="M29" t="inlineStr">
        <is>
          <t>1. 质谱类型：三重四极杆（QqQ），正/负/切换离子模式，ESI/APCI双离子源； 2. 灵敏度：MRM模式定量下限≤0.07ng/mL（S/N≥10），动态范围≥5个数量级； 3. 质量范围：5~2000 m/z（MS1及MS2），质量精度&lt;0.1Da； 4. 扫描速度：MRM≥500个离子对/s，支持高通量多组分同步定量； 5. 液相前端：超高效液相联用，流速0.01~2mL/min，梯度精度±0.1%，柱温箱精度±0.1℃； 6. 软件：随机配套质谱工作站，含定量分析及电子记录与电子签名合规（审计追踪、数据完整性）数据安全模块； 7. 数据接口：开放API自动推送结果至LIMS（JSON/CSV）； 8. 性能基准：灵敏度、扫描速度及定量重复性达到主流三重四极杆液质联用系统同等水平。</t>
        </is>
      </c>
      <c r="N29" t="inlineStr">
        <is>
          <t>整套作固定资产, 运输+安装+调试/验证费计入原值, 10年折旧</t>
        </is>
      </c>
      <c r="O29" t="inlineStr">
        <is>
          <t>HW-5 高灵敏液质联用定量分析</t>
        </is>
      </c>
      <c r="P29" t="inlineStr">
        <is>
          <t>LC-MS/MS 三重四极杆液质联用系统</t>
        </is>
      </c>
      <c r="Q29" t="inlineStr">
        <is>
          <t>81</t>
        </is>
      </c>
      <c r="R29"/>
      <c r="S29"/>
      <c r="T29"/>
      <c r="U29" s="2"/>
      <c r="V29" s="2"/>
      <c r="W29"/>
      <c r="X29" t="inlineStr">
        <is>
          <t>HW-5 高灵敏液质联用定量分析</t>
        </is>
      </c>
      <c r="Y29"/>
      <c r="Z29" t="inlineStr">
        <is>
          <t>Ab Sciex</t>
        </is>
      </c>
    </row>
    <row r="30" ht="25.5" customHeight="1">
      <c r="A30" t="inlineStr">
        <is>
          <t>HW-6 蛋白色谱纯化与配套备件保障</t>
        </is>
      </c>
      <c r="B30" t="inlineStr">
        <is>
          <t>HW-6 蛋白色谱纯化与配套备件保障</t>
        </is>
      </c>
      <c r="C30" t="inlineStr">
        <is>
          <t>超高效液相色谱系统（UPLC）,中压液相色谱纯化系统（FPLC）,随机备品备件及首批专用配件</t>
        </is>
      </c>
      <c r="D30" t="inlineStr">
        <is>
          <t>总计</t>
        </is>
      </c>
      <c r="E30"/>
      <c r="F30" t="inlineStr">
        <is>
          <t>列表</t>
        </is>
      </c>
      <c r="G30"/>
      <c r="H30" t="inlineStr">
        <is>
          <t>可国产化</t>
        </is>
      </c>
      <c r="I30" t="inlineStr">
        <is>
          <t>1</t>
        </is>
      </c>
      <c r="J30" t="inlineStr">
        <is>
          <t>410</t>
        </is>
      </c>
      <c r="K30" t="inlineStr">
        <is>
          <t>410</t>
        </is>
      </c>
      <c r="L30" t="inlineStr">
        <is>
          <t>2.3~3.5（估算·待实测核定）</t>
        </is>
      </c>
      <c r="M30" t="inlineStr">
        <is>
          <t>包含设备类型：超高效液相色谱系统（UPLC）；中压液相色谱纯化系统（FPLC）；随机备品备件及首批专用配件</t>
        </is>
      </c>
      <c r="N30" t="inlineStr">
        <is>
          <t>整套作固定资产, 运输+安装+调试/验证费计入原值, 10年折旧, 备件随设备入账, 低值易耗品科目为0</t>
        </is>
      </c>
      <c r="O30" t="inlineStr">
        <is>
          <t>HW-6 蛋白色谱纯化与配套备件保障</t>
        </is>
      </c>
      <c r="P30"/>
      <c r="Q30"/>
      <c r="R30"/>
      <c r="S30"/>
      <c r="T30"/>
      <c r="U30" s="2"/>
      <c r="V30" s="2"/>
      <c r="W30"/>
      <c r="X30" t="inlineStr">
        <is>
          <t>北京实验室合成生物学</t>
        </is>
      </c>
      <c r="Y30"/>
      <c r="Z30"/>
    </row>
    <row r="31" ht="25.5" customHeight="1">
      <c r="A31" t="inlineStr">
        <is>
          <t>超高效液相色谱系统（UPLC）</t>
        </is>
      </c>
      <c r="B31" t="inlineStr">
        <is>
          <t>HW-6 蛋白色谱纯化与配套备件保障</t>
        </is>
      </c>
      <c r="C31" t="inlineStr">
        <is>
          <t>超高效液相色谱系统（UPLC）</t>
        </is>
      </c>
      <c r="D31" t="inlineStr">
        <is>
          <t>通用</t>
        </is>
      </c>
      <c r="E31"/>
      <c r="F31" t="inlineStr">
        <is>
          <t>列表</t>
        </is>
      </c>
      <c r="G31"/>
      <c r="H31" t="inlineStr">
        <is>
          <t>可国产化</t>
        </is>
      </c>
      <c r="I31" t="inlineStr">
        <is>
          <t>1</t>
        </is>
      </c>
      <c r="J31" t="inlineStr">
        <is>
          <t>410</t>
        </is>
      </c>
      <c r="K31" t="inlineStr">
        <is>
          <t>410</t>
        </is>
      </c>
      <c r="L31" t="inlineStr">
        <is>
          <t>2.3~3.5（估算·待实测核定）</t>
        </is>
      </c>
      <c r="M31" t="inlineStr">
        <is>
          <t>1. 压力：耐压≥15000psi（~1034bar），支持亚2μm颗粒色谱柱； 2. 泵系统：四元梯度泵，流速0.01~2mL/min，流速精度≤0.1%RSD； 3. 进样器：自动进样，范围0.1~100μL，携带污染&lt;0.005%； 4. 检测器：PDA二极管阵列（190~500nm），波长精度±1nm，峰面积重现性RSD&lt;0.5%； 5. 柱温箱：范围5~90℃，精度±0.1℃，支持柱切换阀； 6. 软件：随机配套色谱工作站，API导出至LIMS； 7. 应用：SEC-UPLC蛋白聚集体分析，单次运行≤2min/样品。</t>
        </is>
      </c>
      <c r="N31" t="inlineStr">
        <is>
          <t>整套作固定资产, 运输+安装+调试/验证费计入原值, 10年折旧, 备件随设备入账, 低值易耗品科目为0</t>
        </is>
      </c>
      <c r="O31" t="inlineStr">
        <is>
          <t>HW-6 蛋白色谱纯化与配套备件保障</t>
        </is>
      </c>
      <c r="P31" t="inlineStr">
        <is>
          <t>超高效液相色谱系统（UPLC）</t>
        </is>
      </c>
      <c r="Q31" t="inlineStr">
        <is>
          <t>90</t>
        </is>
      </c>
      <c r="R31"/>
      <c r="S31"/>
      <c r="T31"/>
      <c r="U31" s="2"/>
      <c r="V31" s="2"/>
      <c r="W31"/>
      <c r="X31" t="inlineStr">
        <is>
          <t>HW-6 蛋白色谱纯化与配套备件保障</t>
        </is>
      </c>
      <c r="Y31"/>
      <c r="Z31"/>
    </row>
    <row r="32" ht="25.5" customHeight="1">
      <c r="A32" t="inlineStr">
        <is>
          <t>中压液相色谱纯化系统（FPLC）</t>
        </is>
      </c>
      <c r="B32" t="inlineStr">
        <is>
          <t>HW-6 蛋白色谱纯化与配套备件保障</t>
        </is>
      </c>
      <c r="C32" t="inlineStr">
        <is>
          <t>中压液相色谱纯化系统（FPLC）</t>
        </is>
      </c>
      <c r="D32" t="inlineStr">
        <is>
          <t>通用</t>
        </is>
      </c>
      <c r="E32"/>
      <c r="F32" t="inlineStr">
        <is>
          <t>列表, 参考</t>
        </is>
      </c>
      <c r="G32"/>
      <c r="H32" t="inlineStr">
        <is>
          <t>可国产化</t>
        </is>
      </c>
      <c r="I32" t="inlineStr">
        <is>
          <t>1</t>
        </is>
      </c>
      <c r="J32" t="inlineStr">
        <is>
          <t>410</t>
        </is>
      </c>
      <c r="K32" t="inlineStr">
        <is>
          <t>410</t>
        </is>
      </c>
      <c r="L32" t="inlineStr">
        <is>
          <t>2.3~3.5（估算·待实测核定）</t>
        </is>
      </c>
      <c r="M32" t="inlineStr">
        <is>
          <t>1. 流速范围：0.001~150mL/min，毛细管至制备级全覆盖； 2. 压力：最大≥3MPa，适配SEC、IEX、Affinity多类层析柱； 3. 检测：UV 280nm/260nm双波长，在线电导率与pH同步检测； 4. 软件：随机配套层析控制软件，REST API导出至LIMS； 5. 配件：SEC分析柱×2随机配套，蛋白回收率≥90%，单批处理量50mg~5g； 6. 性能基准：流速、压力与分离性能达到主流蛋白纯化中压液相层析系统同等水平。</t>
        </is>
      </c>
      <c r="N32" t="inlineStr">
        <is>
          <t>整套作固定资产, 运输+安装+调试/验证费计入原值, 10年折旧, 备件随设备入账, 低值易耗品科目为0</t>
        </is>
      </c>
      <c r="O32" t="inlineStr">
        <is>
          <t>HW-6 蛋白色谱纯化与配套备件保障</t>
        </is>
      </c>
      <c r="P32" t="inlineStr">
        <is>
          <t>中压液相色谱纯化系统（FPLC）</t>
        </is>
      </c>
      <c r="Q32" t="inlineStr">
        <is>
          <t>98</t>
        </is>
      </c>
      <c r="R32"/>
      <c r="S32"/>
      <c r="T32"/>
      <c r="U32" s="2"/>
      <c r="V32" s="2"/>
      <c r="W32"/>
      <c r="X32" t="inlineStr">
        <is>
          <t>HW-6 蛋白色谱纯化与配套备件保障</t>
        </is>
      </c>
      <c r="Y32"/>
      <c r="Z32" t="inlineStr">
        <is>
          <t>Cytiva代理</t>
        </is>
      </c>
    </row>
    <row r="33" ht="25.5" customHeight="1">
      <c r="A33" t="inlineStr">
        <is>
          <t>随机备品备件及首批专用配件</t>
        </is>
      </c>
      <c r="B33" t="inlineStr">
        <is>
          <t>HW-6 蛋白色谱纯化与配套备件保障</t>
        </is>
      </c>
      <c r="C33" t="inlineStr">
        <is>
          <t>随机备品备件及首批专用配件</t>
        </is>
      </c>
      <c r="D33" t="inlineStr">
        <is>
          <t>通用</t>
        </is>
      </c>
      <c r="E33"/>
      <c r="F33" t="inlineStr">
        <is>
          <t>列表, 参考</t>
        </is>
      </c>
      <c r="G33"/>
      <c r="H33" t="inlineStr">
        <is>
          <t>可国产化</t>
        </is>
      </c>
      <c r="I33" t="inlineStr">
        <is>
          <t>1</t>
        </is>
      </c>
      <c r="J33" t="inlineStr">
        <is>
          <t>410</t>
        </is>
      </c>
      <c r="K33" t="inlineStr">
        <is>
          <t>410</t>
        </is>
      </c>
      <c r="L33" t="inlineStr">
        <is>
          <t>2.3~3.5（估算·待实测核定）</t>
        </is>
      </c>
      <c r="M33" t="inlineStr">
        <is>
          <t>1. 色谱柱：SEC分析柱≥4根、反相柱≥2根，覆盖UPLC及FPLC主要分析方法； 2. 毛细管电泳耗材：芯片卡盒≥20片，覆盖平台前12个月CE-SDS需求； 3. 质谱/液相标准品：方法验证标准品及同位素内标≥10种，覆盖主要分析物； 4. 通用耗材：过滤移液枪头（各规格≥5000支）、96/384孔板（≥200块）； 5. 覆盖：保障平台前12个月日常分析运营。</t>
        </is>
      </c>
      <c r="N33" t="inlineStr">
        <is>
          <t>整套作固定资产, 运输+安装+调试/验证费计入原值, 10年折旧, 备件随设备入账, 低值易耗品科目为0</t>
        </is>
      </c>
      <c r="O33" t="inlineStr">
        <is>
          <t>HW-6 蛋白色谱纯化与配套备件保障</t>
        </is>
      </c>
      <c r="P33" t="inlineStr">
        <is>
          <t>随机备品备件及首批专用配件</t>
        </is>
      </c>
      <c r="Q33" t="inlineStr">
        <is>
          <t>105</t>
        </is>
      </c>
      <c r="R33"/>
      <c r="S33"/>
      <c r="T33"/>
      <c r="U33" s="2"/>
      <c r="V33" s="2"/>
      <c r="W33"/>
      <c r="X33" t="inlineStr">
        <is>
          <t>HW-6 蛋白色谱纯化与配套备件保障</t>
        </is>
      </c>
      <c r="Y33"/>
      <c r="Z33" t="inlineStr">
        <is>
          <t>Cytiva代理</t>
        </is>
      </c>
    </row>
    <row r="34" ht="25.5" customHeight="1">
      <c r="A34" t="inlineStr">
        <is>
          <t>总计</t>
        </is>
      </c>
      <c r="B34" t="inlineStr">
        <is>
          <t>全部硬件工站</t>
        </is>
      </c>
      <c r="C34" t="inlineStr">
        <is>
          <t>全部设备</t>
        </is>
      </c>
      <c r="D34" t="inlineStr">
        <is>
          <t>总计</t>
        </is>
      </c>
      <c r="E34"/>
      <c r="F34"/>
      <c r="G34"/>
      <c r="H34"/>
      <c r="I34"/>
      <c r="J34"/>
      <c r="K34" t="inlineStr">
        <is>
          <t>2350</t>
        </is>
      </c>
      <c r="L34"/>
      <c r="M34" t="inlineStr">
        <is>
          <t>固定资产（6个硬件工站，含随设备配套备品备件200万元）</t>
        </is>
      </c>
      <c r="N34"/>
      <c r="O34" t="inlineStr">
        <is>
          <t>合计</t>
        </is>
      </c>
      <c r="P34"/>
      <c r="Q34" t="inlineStr">
        <is>
          <t>111</t>
        </is>
      </c>
      <c r="R34"/>
      <c r="S34"/>
      <c r="T34"/>
      <c r="U34" s="2"/>
      <c r="V34" s="2"/>
      <c r="W34"/>
      <c r="X34" t="inlineStr">
        <is>
          <t>北京实验室合成生物学</t>
        </is>
      </c>
      <c r="Y34"/>
      <c r="Z34"/>
    </row>
    <row r="35" ht="25.5" customHeight="1">
      <c r="A35" t="inlineStr">
        <is>
          <t>南京诺唯赞 VNL-96P</t>
        </is>
      </c>
      <c r="B35" t="inlineStr">
        <is>
          <t>HW-2 高通量自动化表达与克隆筛选</t>
        </is>
      </c>
      <c r="C35" t="inlineStr">
        <is>
          <t>国产高通量液体处理工作站</t>
        </is>
      </c>
      <c r="D35" t="inlineStr">
        <is>
          <t>南京诺唯赞 VNL-96P</t>
        </is>
      </c>
      <c r="E35"/>
      <c r="F35" t="inlineStr">
        <is>
          <t>AI</t>
        </is>
      </c>
      <c r="G35" t="inlineStr">
        <is>
          <t>未发现STL/STEP/URDF</t>
        </is>
      </c>
      <c r="H35" t="inlineStr">
        <is>
          <t>国产替代候选</t>
        </is>
      </c>
      <c r="I35" t="inlineStr">
        <is>
          <t>候选</t>
        </is>
      </c>
      <c r="J35" t="inlineStr">
        <is>
          <t>待询价</t>
        </is>
      </c>
      <c r="K35" t="inlineStr">
        <is>
          <t>待询价</t>
        </is>
      </c>
      <c r="L35" t="inlineStr">
        <is>
          <t>待确认</t>
        </is>
      </c>
      <c r="M35" t="inlineStr">
        <is>
          <t>96通道整板移液、24板位、叠板/扫码/LIMS，匹配高通量克隆筛选配液。2–200 µL；支持PCR温控、温控振荡、自动扫码、LIMS。</t>
        </is>
      </c>
      <c r="N35" t="inlineStr">
        <is>
          <t>国产候选</t>
        </is>
      </c>
      <c r="O35" t="inlineStr">
        <is>
          <t>HW-2 高通量自动化表达与克隆筛选</t>
        </is>
      </c>
      <c r="P35" t="inlineStr">
        <is>
          <t>在线调研补充</t>
        </is>
      </c>
      <c r="Q35" t="inlineStr">
        <is>
          <t>online-20260709</t>
        </is>
      </c>
      <c r="R35" t="inlineStr">
        <is>
          <t>国产</t>
        </is>
      </c>
      <c r="S35" t="inlineStr">
        <is>
          <t>低</t>
        </is>
      </c>
      <c r="T35" t="inlineStr">
        <is>
          <t>公开检索未发现几何模型。</t>
        </is>
      </c>
      <c r="U35" s="2"/>
      <c r="V35" s="2" t="str">
        <f>=HYPERLINK("https://bio.vazyme.com/product/718.html", "https://bio.vazyme.com/product/718.html")</f>
        <v>https://bio.vazyme.com/product/718.html</v>
      </c>
      <c r="W35" t="inlineStr">
        <is>
          <t>未找到公开STL/STEP/URDF；建议向厂家索取外形CAD。</t>
        </is>
      </c>
      <c r="X35" t="inlineStr">
        <is>
          <t>高通量自动化液体处理工作站 / 灵活8通道移液工作站 / 96通道移液工作站</t>
        </is>
      </c>
      <c r="Y35" t="inlineStr">
        <is>
          <t>{"宽mm": 1224, "深mm": 753, "高mm": 1111, "重量kg": 274, "占地/安装备注": "厂家注明尺寸“不计算挂壁”；需预留挂壁、开门和耗材装载空间。", "尺寸来源URL": "https://bio.vazyme.com/product/718.html"}</t>
        </is>
      </c>
      <c r="Z35"/>
    </row>
    <row r="36" ht="25.5" customHeight="1">
      <c r="A36" t="inlineStr">
        <is>
          <t>INFORS HT Multitron Pro / Multitron</t>
        </is>
      </c>
      <c r="B36" t="inlineStr">
        <is>
          <t>HW-2 高通量自动化表达与克隆筛选</t>
        </is>
      </c>
      <c r="C36" t="inlineStr">
        <is>
          <t>微孔板/深孔板振荡培养箱</t>
        </is>
      </c>
      <c r="D36" t="inlineStr">
        <is>
          <t>INFORS HT Multitron Pro / Multitron</t>
        </is>
      </c>
      <c r="E36" t="inlineStr">
        <is>
          <t>图片生成stl</t>
        </is>
      </c>
      <c r="F36" t="inlineStr">
        <is>
          <t>列表, 参考</t>
        </is>
      </c>
      <c r="G36" t="inlineStr">
        <is>
          <t>未发现STL/STEP/URDF</t>
        </is>
      </c>
      <c r="H36" t="inlineStr">
        <is>
          <t>进口标杆</t>
        </is>
      </c>
      <c r="I36" t="inlineStr">
        <is>
          <t>候选</t>
        </is>
      </c>
      <c r="J36" t="inlineStr">
        <is>
          <t>待询价</t>
        </is>
      </c>
      <c r="K36" t="inlineStr">
        <is>
          <t>待询价</t>
        </is>
      </c>
      <c r="L36" t="inlineStr">
        <is>
          <t>待确认</t>
        </is>
      </c>
      <c r="M36" t="inlineStr">
        <is>
          <t>适合深孔板、摇瓶、小规模表达培养；多层堆叠提升通量。可选冷却、CO₂、湿度、照明、UV/HEPA；可堆叠。</t>
        </is>
      </c>
      <c r="N36" t="inlineStr">
        <is>
          <t>标准候选</t>
        </is>
      </c>
      <c r="O36" t="inlineStr">
        <is>
          <t>HW-2 高通量自动化表达与克隆筛选</t>
        </is>
      </c>
      <c r="P36" t="inlineStr">
        <is>
          <t>在线调研补充</t>
        </is>
      </c>
      <c r="Q36" t="inlineStr">
        <is>
          <t>online-20260709</t>
        </is>
      </c>
      <c r="R36" t="inlineStr">
        <is>
          <t>标准/进口</t>
        </is>
      </c>
      <c r="S36" t="inlineStr">
        <is>
          <t>低</t>
        </is>
      </c>
      <c r="T36" t="inlineStr">
        <is>
          <t>公开检索未发现精确模型。</t>
        </is>
      </c>
      <c r="U36" s="2"/>
      <c r="V36" s="2" t="str">
        <f>=HYPERLINK("https://infors-ht.com/en/products/incubator-shakers/multitron
https://infors-ht.com/getmedia/a3c6a82e-f5e2-45c8-a715-3320b293f6d2/Product-Data-Sheet-Multitron-9-en-GB", "https://infors-ht.com/en/products/incubator-shakers/multitron,https://infors-ht.com/getmedia/a3c6a82e-f5e2-45c8-a715-3320b293f6d2/Product-Data-Sheet-Multitron-9-en-GB")</f>
        <v>https://infors-ht.com/en/products/incubator-shakers/multitron,https://infors-ht.com/getmedia/a3c6a82e-f5e2-45c8-a715-3320b293f6d2/Product-Data-Sheet-Multitron-9-en-GB</v>
      </c>
      <c r="W36" t="inlineStr">
        <is>
          <t>未找到精确公开STL/STEP/URDF。</t>
        </is>
      </c>
      <c r="X36" t="inlineStr">
        <is>
          <t>微量振荡培养箱与恒温板 / 震荡培养箱</t>
        </is>
      </c>
      <c r="Y36" t="inlineStr">
        <is>
          <t>{"宽mm": 1070, "深mm": 880, "高mm": 550, "重量kg": "Multitron Pro 未在 flyer 中明确；Multitron 单机约129–144 kg，取决于振幅", "占地/安装备注": "背部100 mm、侧面80 mm通风空间；堆叠重量按层数/底座/冷却模块累加。", "尺寸来源URL": "https://www.infors-ht.com.cn/uploadfile/2018/0515/Flyer_MultitronPro_en_web.pdf；https://infors-ht.com/getmedia/a3c6a82e-f5e2-45c8-a715-3320b293f6d2/Product-Data-Sheet-Multitron-9-en-GB"}</t>
        </is>
      </c>
      <c r="Z36"/>
    </row>
    <row r="37" ht="25.5" customHeight="1">
      <c r="A37" t="inlineStr">
        <is>
          <t>上海沪析 HW-400TG</t>
        </is>
      </c>
      <c r="B37" t="inlineStr">
        <is>
          <t>HW-2 高通量自动化表达与克隆筛选</t>
        </is>
      </c>
      <c r="C37" t="inlineStr">
        <is>
          <t>国产微孔板恒温振荡器</t>
        </is>
      </c>
      <c r="D37" t="inlineStr">
        <is>
          <t>上海沪析 HW-400TG</t>
        </is>
      </c>
      <c r="E37"/>
      <c r="F37" t="inlineStr">
        <is>
          <t>AI</t>
        </is>
      </c>
      <c r="G37" t="inlineStr">
        <is>
          <t>未发现STL/STEP/URDF</t>
        </is>
      </c>
      <c r="H37" t="inlineStr">
        <is>
          <t>国产替代候选</t>
        </is>
      </c>
      <c r="I37" t="inlineStr">
        <is>
          <t>候选</t>
        </is>
      </c>
      <c r="J37" t="inlineStr">
        <is>
          <t>待询价</t>
        </is>
      </c>
      <c r="K37" t="inlineStr">
        <is>
          <t>待询价</t>
        </is>
      </c>
      <c r="L37" t="inlineStr">
        <is>
          <t>待确认</t>
        </is>
      </c>
      <c r="M37" t="inlineStr">
        <is>
          <t>4块微孔板/培养板恒温振荡，适合小体积表达培养、诱导和混匀。室温+5–80℃；300–1350 rpm；输入功率300 W。</t>
        </is>
      </c>
      <c r="N37" t="inlineStr">
        <is>
          <t>国产候选</t>
        </is>
      </c>
      <c r="O37" t="inlineStr">
        <is>
          <t>HW-2 高通量自动化表达与克隆筛选</t>
        </is>
      </c>
      <c r="P37" t="inlineStr">
        <is>
          <t>在线调研补充</t>
        </is>
      </c>
      <c r="Q37" t="inlineStr">
        <is>
          <t>online-20260709</t>
        </is>
      </c>
      <c r="R37" t="inlineStr">
        <is>
          <t>国产</t>
        </is>
      </c>
      <c r="S37" t="inlineStr">
        <is>
          <t>低</t>
        </is>
      </c>
      <c r="T37" t="inlineStr">
        <is>
          <t>公开检索未发现几何模型。</t>
        </is>
      </c>
      <c r="U37" s="2"/>
      <c r="V37" s="2" t="str">
        <f>=HYPERLINK("https://www.instrument.com.cn/show/C326735.html
https://ibetter.com/productinfo/1905035.html", "https://www.instrument.com.cn/show/C326735.html,https://ibetter.com/productinfo/1905035.html")</f>
        <v>https://www.instrument.com.cn/show/C326735.html,https://ibetter.com/productinfo/1905035.html</v>
      </c>
      <c r="W37" t="inlineStr">
        <is>
          <t>未找到公开STL/STEP/URDF。</t>
        </is>
      </c>
      <c r="X37" t="inlineStr">
        <is>
          <t>微量振荡培养箱与恒温板 / 震荡培养箱</t>
        </is>
      </c>
      <c r="Y37" t="inlineStr">
        <is>
          <t>{"宽mm": 340, "深mm": 320, "高mm": 200, "重量kg": 9.5, "占地/安装备注": "台式设备；需预留上盖/取放板空间。", "尺寸来源URL": "https://www.instrument.com.cn/show/C326735.html"}</t>
        </is>
      </c>
      <c r="Z37"/>
    </row>
    <row r="38" ht="25.5" customHeight="1">
      <c r="A38" t="inlineStr">
        <is>
          <t>Beckman Coulter Allegra X-15R</t>
        </is>
      </c>
      <c r="B38" t="inlineStr">
        <is>
          <t>HW-2 高通量自动化表达与克隆筛选</t>
        </is>
      </c>
      <c r="C38" t="inlineStr">
        <is>
          <t>板式/台式冷冻离心机</t>
        </is>
      </c>
      <c r="D38" t="inlineStr">
        <is>
          <t>Beckman Coulter Allegra X-15R</t>
        </is>
      </c>
      <c r="E38" t="inlineStr">
        <is>
          <t>准备中</t>
        </is>
      </c>
      <c r="F38" t="inlineStr">
        <is>
          <t>列表, 参考</t>
        </is>
      </c>
      <c r="G38" t="inlineStr">
        <is>
          <t>未发现STL/STEP/URDF</t>
        </is>
      </c>
      <c r="H38" t="inlineStr">
        <is>
          <t>进口标杆</t>
        </is>
      </c>
      <c r="I38" t="inlineStr">
        <is>
          <t>候选</t>
        </is>
      </c>
      <c r="J38" t="inlineStr">
        <is>
          <t>待询价</t>
        </is>
      </c>
      <c r="K38" t="inlineStr">
        <is>
          <t>待询价</t>
        </is>
      </c>
      <c r="L38" t="inlineStr">
        <is>
          <t>待确认</t>
        </is>
      </c>
      <c r="M38" t="inlineStr">
        <is>
          <t>适合深孔板沉淀、细胞收集、板/管离心；4×750 mL；最高5,250×g摆桶/11,400×g固定角；-10到+40℃。</t>
        </is>
      </c>
      <c r="N38" t="inlineStr">
        <is>
          <t>标准候选</t>
        </is>
      </c>
      <c r="O38" t="inlineStr">
        <is>
          <t>HW-2 高通量自动化表达与克隆筛选</t>
        </is>
      </c>
      <c r="P38" t="inlineStr">
        <is>
          <t>在线调研补充</t>
        </is>
      </c>
      <c r="Q38" t="inlineStr">
        <is>
          <t>online-20260709</t>
        </is>
      </c>
      <c r="R38" t="inlineStr">
        <is>
          <t>标准/进口</t>
        </is>
      </c>
      <c r="S38" t="inlineStr">
        <is>
          <t>低</t>
        </is>
      </c>
      <c r="T38" t="inlineStr">
        <is>
          <t>公开检索未发现精确模型。</t>
        </is>
      </c>
      <c r="U38" s="2"/>
      <c r="V38" s="2" t="str">
        <f>=HYPERLINK("https://www.beckmancoulter.cn/bls/bls_centrifuge_allegra/
https://bpharma-basic.net/Allegra-centrifuges.pdf", "https://www.beckmancoulter.cn/bls/bls_centrifuge_allegra/,https://bpharma-basic.net/Allegra-centrifuges.pdf")</f>
        <v>https://www.beckmancoulter.cn/bls/bls_centrifuge_allegra/,https://bpharma-basic.net/Allegra-centrifuges.pdf</v>
      </c>
      <c r="W38" t="inlineStr">
        <is>
          <t>未找到精确公开STL/STEP/URDF。</t>
        </is>
      </c>
      <c r="X38" t="inlineStr">
        <is>
          <t>多孔板离心机 / RT离心机 / 4°C离心机</t>
        </is>
      </c>
      <c r="Y38" t="inlineStr">
        <is>
          <t>{"宽mm": 762, "深mm": 622, "高mm": 343, "重量kg": 128, "占地/安装备注": "说明书要求侧面和后部约76 mm通风/安全间隙。", "尺寸来源URL": "https://bpharma-basic.net/Allegra-centrifuges.pdf；https://manuals.plus/m/50bd622edd5f769ac117b42b7e7e27b5aad4f99ffe7dbc9c4bd9bf8a84fe61a1"}</t>
        </is>
      </c>
      <c r="Z38"/>
    </row>
    <row r="39" ht="25.5" customHeight="1">
      <c r="A39" t="inlineStr">
        <is>
          <t>杭州瑞诚 MPC2800</t>
        </is>
      </c>
      <c r="B39" t="inlineStr">
        <is>
          <t>HW-2 高通量自动化表达与克隆筛选</t>
        </is>
      </c>
      <c r="C39" t="inlineStr">
        <is>
          <t>国产微孔板离心机</t>
        </is>
      </c>
      <c r="D39" t="inlineStr">
        <is>
          <t>杭州瑞诚 MPC2800</t>
        </is>
      </c>
      <c r="E39" t="inlineStr">
        <is>
          <t>准备中</t>
        </is>
      </c>
      <c r="F39" t="inlineStr">
        <is>
          <t>AI</t>
        </is>
      </c>
      <c r="G39" t="inlineStr">
        <is>
          <t>未发现STL/STEP/URDF</t>
        </is>
      </c>
      <c r="H39" t="inlineStr">
        <is>
          <t>国产替代候选</t>
        </is>
      </c>
      <c r="I39" t="inlineStr">
        <is>
          <t>候选</t>
        </is>
      </c>
      <c r="J39" t="inlineStr">
        <is>
          <t>待询价</t>
        </is>
      </c>
      <c r="K39" t="inlineStr">
        <is>
          <t>待询价</t>
        </is>
      </c>
      <c r="L39" t="inlineStr">
        <is>
          <t>待确认</t>
        </is>
      </c>
      <c r="M39" t="inlineStr">
        <is>
          <t>适合PCR板/96/384孔板短时甩液、去挂壁液；2块标准PCR微孔板；2200–2800 rpm；最大550×g。</t>
        </is>
      </c>
      <c r="N39" t="inlineStr">
        <is>
          <t>国产候选</t>
        </is>
      </c>
      <c r="O39" t="inlineStr">
        <is>
          <t>HW-2 高通量自动化表达与克隆筛选</t>
        </is>
      </c>
      <c r="P39" t="inlineStr">
        <is>
          <t>在线调研补充</t>
        </is>
      </c>
      <c r="Q39" t="inlineStr">
        <is>
          <t>online-20260709</t>
        </is>
      </c>
      <c r="R39" t="inlineStr">
        <is>
          <t>国产</t>
        </is>
      </c>
      <c r="S39" t="inlineStr">
        <is>
          <t>低</t>
        </is>
      </c>
      <c r="T39" t="inlineStr">
        <is>
          <t>公开检索未发现几何模型。</t>
        </is>
      </c>
      <c r="U39" s="2"/>
      <c r="V39" s="2" t="str">
        <f>=HYPERLINK("https://www.instrument.com.cn/show/C304707.html
https://img01.71360.com/w3/pjn3nk/20240130/28cfaf2455891d1db1dd78719262ae87.pdf?dl=1", "https://www.instrument.com.cn/show/C304707.html,https://img01.71360.com/w3/pjn3nk/20240130/28cfaf2455891d1db1dd78719262ae87.pdf?dl=1")</f>
        <v>https://www.instrument.com.cn/show/C304707.html,https://img01.71360.com/w3/pjn3nk/20240130/28cfaf2455891d1db1dd78719262ae87.pdf?dl=1</v>
      </c>
      <c r="W39" t="inlineStr">
        <is>
          <t>未找到公开STL/STEP/URDF。</t>
        </is>
      </c>
      <c r="X39" t="inlineStr">
        <is>
          <t>多孔板离心机 / RT离心机 / 4°C离心机</t>
        </is>
      </c>
      <c r="Y39" t="inlineStr">
        <is>
          <t>{"宽mm": 260, "深mm": 240, "高mm": 226, "重量kg": "未找到官方重量", "占地/安装备注": "台式设备；需预留开盖高度。", "尺寸来源URL": "https://img01.71360.com/w3/pjn3nk/20240130/28cfaf2455891d1db1dd78719262ae87.pdf?dl=1"}</t>
        </is>
      </c>
      <c r="Z39"/>
    </row>
    <row r="40" ht="25.5" customHeight="1">
      <c r="A40" t="inlineStr">
        <is>
          <t>Branson Sonifier SFX550</t>
        </is>
      </c>
      <c r="B40" t="inlineStr">
        <is>
          <t>HW-2 高通量自动化表达与克隆筛选</t>
        </is>
      </c>
      <c r="C40" t="inlineStr">
        <is>
          <t>超声破碎仪 / Sonicator</t>
        </is>
      </c>
      <c r="D40" t="inlineStr">
        <is>
          <t>Branson Sonifier SFX550</t>
        </is>
      </c>
      <c r="E40" t="inlineStr">
        <is>
          <t>准备中</t>
        </is>
      </c>
      <c r="F40" t="inlineStr">
        <is>
          <t>列表, 参考</t>
        </is>
      </c>
      <c r="G40" t="inlineStr">
        <is>
          <t>未发现STL/STEP/URDF</t>
        </is>
      </c>
      <c r="H40" t="inlineStr">
        <is>
          <t>进口标杆</t>
        </is>
      </c>
      <c r="I40" t="inlineStr">
        <is>
          <t>候选</t>
        </is>
      </c>
      <c r="J40" t="inlineStr">
        <is>
          <t>待询价</t>
        </is>
      </c>
      <c r="K40" t="inlineStr">
        <is>
          <t>待询价</t>
        </is>
      </c>
      <c r="L40" t="inlineStr">
        <is>
          <t>待确认</t>
        </is>
      </c>
      <c r="M40" t="inlineStr">
        <is>
          <t>用于表达后细胞裂解、蛋白释放、样品均质。550 W；20 kHz；0.2–1000 mL；连续/脉冲、时间/能量/温度控制。</t>
        </is>
      </c>
      <c r="N40" t="inlineStr">
        <is>
          <t>标准候选</t>
        </is>
      </c>
      <c r="O40" t="inlineStr">
        <is>
          <t>HW-2 高通量自动化表达与克隆筛选</t>
        </is>
      </c>
      <c r="P40" t="inlineStr">
        <is>
          <t>在线调研补充</t>
        </is>
      </c>
      <c r="Q40" t="inlineStr">
        <is>
          <t>online-20260709</t>
        </is>
      </c>
      <c r="R40" t="inlineStr">
        <is>
          <t>标准/进口</t>
        </is>
      </c>
      <c r="S40" t="inlineStr">
        <is>
          <t>低</t>
        </is>
      </c>
      <c r="T40" t="inlineStr">
        <is>
          <t>公开检索未发现精确模型。</t>
        </is>
      </c>
      <c r="U40" s="2"/>
      <c r="V40" s="2" t="str">
        <f>=HYPERLINK("https://www.emerson.com/is/content/emerson/en/corporate/branson/documents/SFX250-550-Sonifier-Disruptors-and-Homogenizers.pdf
https://pim-resources.coleparmer.com/data-sheet/04715-21-26-sfx250-550-sonifier-data-sheet.pdf", "https://www.emerson.com/is/content/emerson/en/corporate/branson/documents/SFX250-550-Sonifier-Disruptors-and-Homogenizers.pdf,https://pim-resources.coleparmer.com/data-sheet/04715-21-26-sfx250-550-sonifier-data-sheet.pdf")</f>
        <v>https://www.emerson.com/is/content/emerson/en/corporate/branson/documents/SFX250-550-Sonifier-Disruptors-and-Homogenizers.pdf,https://pim-resources.coleparmer.com/data-sheet/04715-21-26-sfx250-550-sonifier-data-sheet.pdf</v>
      </c>
      <c r="W40" t="inlineStr">
        <is>
          <t>未找到精确公开STL/STEP/URDF；支架/隔音箱需另计占位。</t>
        </is>
      </c>
      <c r="X40" t="inlineStr">
        <is>
          <t>超声破碎仪</t>
        </is>
      </c>
      <c r="Y40" t="inlineStr">
        <is>
          <t>{"宽mm": 191, "深mm": 318, "高mm": 235, "重量kg": 6.3, "占地/安装备注": "主机/电源与换能器套装标称；支架、隔音箱另计。官方支架底座约229×140 mm，杆高609 mm。", "尺寸来源URL": "https://pim-resources.coleparmer.com/data-sheet/04715-21-26-sfx250-550-sonifier-data-sheet.pdf；https://www.emerson.com/is/content/emerson/en/corporate/branson/documents/sonifier-support-stand-with-rod-data-sheet.pdf"}</t>
        </is>
      </c>
      <c r="Z40"/>
    </row>
    <row r="41" ht="25.5" customHeight="1">
      <c r="A41" t="inlineStr">
        <is>
          <t>宁波新芝 SCIENTZ-950E / SCIENTZ-IID</t>
        </is>
      </c>
      <c r="B41" t="inlineStr">
        <is>
          <t>HW-2 高通量自动化表达与克隆筛选</t>
        </is>
      </c>
      <c r="C41" t="inlineStr">
        <is>
          <t>国产超声破碎仪</t>
        </is>
      </c>
      <c r="D41" t="inlineStr">
        <is>
          <t>宁波新芝 SCIENTZ-950E / SCIENTZ-IID</t>
        </is>
      </c>
      <c r="E41"/>
      <c r="F41" t="inlineStr">
        <is>
          <t>AI</t>
        </is>
      </c>
      <c r="G41" t="inlineStr">
        <is>
          <t>未发现STL/STEP/URDF</t>
        </is>
      </c>
      <c r="H41" t="inlineStr">
        <is>
          <t>国产替代候选</t>
        </is>
      </c>
      <c r="I41" t="inlineStr">
        <is>
          <t>候选</t>
        </is>
      </c>
      <c r="J41" t="inlineStr">
        <is>
          <t>待询价</t>
        </is>
      </c>
      <c r="K41" t="inlineStr">
        <is>
          <t>待询价</t>
        </is>
      </c>
      <c r="L41" t="inlineStr">
        <is>
          <t>待确认</t>
        </is>
      </c>
      <c r="M41" t="inlineStr">
        <is>
          <t>950 W、20–25 kHz，适合菌体/细胞裂解与样品均质。SCIENTZ-950E：5–950 W可调；0.5–600 mL；自动隔音箱；温度/功率/时间控制。</t>
        </is>
      </c>
      <c r="N41" t="inlineStr">
        <is>
          <t>国产候选</t>
        </is>
      </c>
      <c r="O41" t="inlineStr">
        <is>
          <t>HW-2 高通量自动化表达与克隆筛选</t>
        </is>
      </c>
      <c r="P41" t="inlineStr">
        <is>
          <t>在线调研补充</t>
        </is>
      </c>
      <c r="Q41" t="inlineStr">
        <is>
          <t>online-20260709</t>
        </is>
      </c>
      <c r="R41" t="inlineStr">
        <is>
          <t>国产</t>
        </is>
      </c>
      <c r="S41" t="inlineStr">
        <is>
          <t>低</t>
        </is>
      </c>
      <c r="T41" t="inlineStr">
        <is>
          <t>公开检索未发现几何模型。</t>
        </is>
      </c>
      <c r="U41" s="2"/>
      <c r="V41" s="2" t="str">
        <f>=HYPERLINK("https://www.scientz.com/products/659.html
https://www.scientzbio.com/news/ultrasonichomogenizer950w0-5-600ml-17943497.html", "https://www.scientz.com/products/659.html,https://www.scientzbio.com/news/ultrasonichomogenizer950w0-5-600ml-17943497.html")</f>
        <v>https://www.scientz.com/products/659.html,https://www.scientzbio.com/news/ultrasonichomogenizer950w0-5-600ml-17943497.html</v>
      </c>
      <c r="W41" t="inlineStr">
        <is>
          <t>未找到公开STL/STEP/URDF。</t>
        </is>
      </c>
      <c r="X41" t="inlineStr">
        <is>
          <t>超声破碎仪</t>
        </is>
      </c>
      <c r="Y41" t="inlineStr">
        <is>
          <t>{"宽mm": 350, "深mm": 345, "高mm": 545, "重量kg": "SCIENTZ-IID主机约14.5 kg；整机/运输约24 kg；950E官方页未明确总重", "占地/安装备注": "尺寸为950E自动隔音箱外部尺寸；电源主机/换能器按配置另计。", "尺寸来源URL": "https://www.scientz.com/products/659.html；https://www.scientzbio.com/news/ultrasonichomogenizer950w0-5-600ml-17943497.html"}</t>
        </is>
      </c>
      <c r="Z41"/>
    </row>
    <row r="42" ht="25.5" customHeight="1">
      <c r="A42" t="inlineStr">
        <is>
          <t>Molecular Devices QPix 420</t>
        </is>
      </c>
      <c r="B42" t="inlineStr">
        <is>
          <t>HW-2 高通量自动化表达与克隆筛选</t>
        </is>
      </c>
      <c r="C42" t="inlineStr">
        <is>
          <t>自动菌落挑选仪</t>
        </is>
      </c>
      <c r="D42" t="inlineStr">
        <is>
          <t>Molecular Devices QPix 420</t>
        </is>
      </c>
      <c r="E42" t="inlineStr">
        <is>
          <t>准备中</t>
        </is>
      </c>
      <c r="F42" t="inlineStr">
        <is>
          <t>列表, 参考</t>
        </is>
      </c>
      <c r="G42" t="inlineStr">
        <is>
          <t>未发现STL/STEP/URDF</t>
        </is>
      </c>
      <c r="H42" t="inlineStr">
        <is>
          <t>进口标杆</t>
        </is>
      </c>
      <c r="I42" t="inlineStr">
        <is>
          <t>候选</t>
        </is>
      </c>
      <c r="J42" t="inlineStr">
        <is>
          <t>待询价</t>
        </is>
      </c>
      <c r="K42" t="inlineStr">
        <is>
          <t>待询价</t>
        </is>
      </c>
      <c r="L42" t="inlineStr">
        <is>
          <t>待确认</t>
        </is>
      </c>
      <c r="M42" t="inlineStr">
        <is>
          <t>自动识别并挑取菌落到96/384孔板或深孔板，支持白光、荧光、蓝白斑等克隆筛选。白光约3000 colonies/h；荧光约2000 colonies/h；96-pin head；walk-away plate handling。</t>
        </is>
      </c>
      <c r="N42" t="inlineStr">
        <is>
          <t>标准候选</t>
        </is>
      </c>
      <c r="O42" t="inlineStr">
        <is>
          <t>HW-2 高通量自动化表达与克隆筛选</t>
        </is>
      </c>
      <c r="P42" t="inlineStr">
        <is>
          <t>在线调研补充</t>
        </is>
      </c>
      <c r="Q42" t="inlineStr">
        <is>
          <t>online-20260709</t>
        </is>
      </c>
      <c r="R42" t="inlineStr">
        <is>
          <t>标准/进口</t>
        </is>
      </c>
      <c r="S42" t="inlineStr">
        <is>
          <t>低</t>
        </is>
      </c>
      <c r="T42" t="inlineStr">
        <is>
          <t>公开检索未发现精确模型。</t>
        </is>
      </c>
      <c r="U42" s="2"/>
      <c r="V42" s="2" t="str">
        <f>=HYPERLINK("https://www.moleculardevices.com/products/clone-screening/microbial-screening/qpix-400-series-microbial-colony-pickers
https://www.moleculardevices.com/sites/default/files/en/assets/user-guide/bpd/qpix-family-preinstall-guide-5083796b.pdf", "https://www.moleculardevices.com/products/clone-screening/microbial-screening/qpix-400-series-microbial-colony-pickers,https://www.moleculardevices.com/sites/default/files/en/assets/user-guide/bpd/qpix-family-preinstall-guide-5083796b.pdf")</f>
        <v>https://www.moleculardevices.com/products/clone-screening/microbial-screening/qpix-400-series-microbial-colony-pickers,https://www.moleculardevices.com/sites/default/files/en/assets/user-guide/bpd/qpix-family-preinstall-guide-5083796b.pdf</v>
      </c>
      <c r="W42" t="inlineStr">
        <is>
          <t>未找到精确公开STL/STEP/URDF。</t>
        </is>
      </c>
      <c r="X42" t="inlineStr">
        <is>
          <t>全自动菌落挑选与接种系统 / 挑菌仪</t>
        </is>
      </c>
      <c r="Y42" t="inlineStr">
        <is>
          <t>{"宽mm": 1460, "深mm": 770, "高mm": 750, "重量kg": "未找到官方公开重量", "占地/安装备注": "QPix 420 system without table；配工作台/显示器/耗材废液模块需额外空间。", "尺寸来源URL": "https://www.moleculardevices.com/products/clone-screening/microbial-screening/qpix-400-series-microbial-colony-pickers；https://www.moleculardevices.com/sites/default/files/en/assets/user-guide/bpd/qpix-family-preinstall-guide-5083796b.pdf"}</t>
        </is>
      </c>
      <c r="Z42"/>
    </row>
    <row r="43" ht="25.5" customHeight="1">
      <c r="A43" t="inlineStr">
        <is>
          <t>凌芯生物 Scelector BCP；备选长光辰英 RAcolony / XImaging HONOR500JLTX</t>
        </is>
      </c>
      <c r="B43" t="inlineStr">
        <is>
          <t>HW-2 高通量自动化表达与克隆筛选</t>
        </is>
      </c>
      <c r="C43" t="inlineStr">
        <is>
          <t>国产自动菌落挑选/筛选系统</t>
        </is>
      </c>
      <c r="D43" t="inlineStr">
        <is>
          <t>凌芯生物 Scelector BCP；备选长光辰英 RAcolony / XImaging HONOR500JLTX</t>
        </is>
      </c>
      <c r="E43"/>
      <c r="F43" t="inlineStr">
        <is>
          <t>AI</t>
        </is>
      </c>
      <c r="G43" t="inlineStr">
        <is>
          <t>未发现STL/STEP/URDF</t>
        </is>
      </c>
      <c r="H43" t="inlineStr">
        <is>
          <t>国产替代候选</t>
        </is>
      </c>
      <c r="I43" t="inlineStr">
        <is>
          <t>候选</t>
        </is>
      </c>
      <c r="J43" t="inlineStr">
        <is>
          <t>待询价</t>
        </is>
      </c>
      <c r="K43" t="inlineStr">
        <is>
          <t>待询价</t>
        </is>
      </c>
      <c r="L43" t="inlineStr">
        <is>
          <t>待确认</t>
        </is>
      </c>
      <c r="M43" t="inlineStr">
        <is>
          <t>AI图像识别、自动挑取、深孔板转移，适合国产化克隆筛选路线。Scelector BCP八通道，96单菌落样本收集&lt;5 min，挑取成功率&gt;98–99%；RAcolony支持图像+拉曼去重。</t>
        </is>
      </c>
      <c r="N43" t="inlineStr">
        <is>
          <t>国产候选</t>
        </is>
      </c>
      <c r="O43" t="inlineStr">
        <is>
          <t>HW-2 高通量自动化表达与克隆筛选</t>
        </is>
      </c>
      <c r="P43" t="inlineStr">
        <is>
          <t>在线调研补充</t>
        </is>
      </c>
      <c r="Q43" t="inlineStr">
        <is>
          <t>online-20260709</t>
        </is>
      </c>
      <c r="R43" t="inlineStr">
        <is>
          <t>国产</t>
        </is>
      </c>
      <c r="S43" t="inlineStr">
        <is>
          <t>低</t>
        </is>
      </c>
      <c r="T43" t="inlineStr">
        <is>
          <t>公开检索未发现几何模型。</t>
        </is>
      </c>
      <c r="U43" s="2"/>
      <c r="V43" s="2" t="str">
        <f>=HYPERLINK("https://www.hooke-instruments.com/products/optical-instruments-for-microscale-sorting-and-detection/high-throughput-colony-intelligent-screening-system/81
https://img1.17img.cn/17img/files/202504/attachment/da015dc1-dd64-49e7-9991-f7a54a6c0800.pdf
https://www.x-imaging.com/en/products/analysis-testing-automatic-products/microbial-automatic-instruments/%E6%99%BA%E8%83%BD%E5%BE%AE%E7%94%9F%E7%89%A9%E8%8F%8C%E8%90%BD%E6%8C%91%E9%80%89%E7%B3%BB%E7%BB%9F", "https://www.hooke-instruments.com/products/optical-instruments-for-microscale-sorting-and-detection/high-throughput-colony-intelligent-screening-system/81,https://img1.17img.cn/17img/files/202504/attachment/da015dc1-dd64-49e7-9991-f7a54a6c0800.pdf,https://www.x-imaging.com/en/products/analysis-testing-automatic-products/microbial-automatic-instruments/%E6%99%BA%E8%83%BD%E5%BE%AE%E7%94%9F%E7%89%A9%E8%8F%8C%E8%90%BD%E6%8C%91%E9%80%89%E7%B3%BB%E7%BB%9F")</f>
        <v>https://www.hooke-instruments.com/products/optical-instruments-for-microscale-sorting-and-detection/high-throughput-colony-intelligent-screening-system/81,https://img1.17img.cn/17img/files/202504/attachment/da015dc1-dd64-49e7-9991-f7a54a6c0800.pdf,https://www.x-imaging.com/en/products/analysis-testing-automatic-products/microbial-automatic-instruments/%E6%99%BA%E8%83%BD%E5%BE%AE%E7%94%9F%E7%89%A9%E8%8F%8C%E8%90%BD%E6%8C%91%E9%80%89%E7%B3%BB%E7%BB%9F</v>
      </c>
      <c r="W43" t="inlineStr">
        <is>
          <t>未找到公开STL/STEP/URDF；如采用国产候选需在RFI中强制要求footprint、重量、接口和安全空间。</t>
        </is>
      </c>
      <c r="X43" t="inlineStr">
        <is>
          <t>全自动菌落挑选与接种系统 / 挑菌仪</t>
        </is>
      </c>
      <c r="Y43" t="inlineStr">
        <is>
          <t>{"宽mm": "Scelector BCP/RAcolony未找到；HONOR500JLTX为1000", "深mm": "Scelector BCP/RAcolony未找到；HONOR500JLTX为1800", "高mm": "Scelector BCP/RAcolony未找到；HONOR500JLTX为1000", "重量kg": "未找到", "占地/安装备注": "HONOR500JLTX为同类国产自动挑菌系统尺寸参考，不等同Scelector/RAcolony。", "尺寸来源URL": "https://www.hooke-instruments.com/products/optical-instruments-for-microscale-sorting-and-detection/high-throughput-colony-intelligent-screening-system/81；https://www.x-imaging.com/en/products/analysis-testing-automatic-products/microbial-automatic-instruments/%E6%99%BA%E8%83%BD%E5%BE%AE%E7%94%9F%E7%89%A9%E8%8F%8C%E8%90%BD%E6%8C%91%E9%80%89%E7%B3%BB%E7%BB%9F"}</t>
        </is>
      </c>
      <c r="Z43"/>
    </row>
    <row r="44" ht="25.5" customHeight="1">
      <c r="A44" t="inlineStr">
        <is>
          <t>Sartorius ambr 250 High Throughput / Microbial</t>
        </is>
      </c>
      <c r="B44" t="inlineStr">
        <is>
          <t>HW-3 微型平行发酵与生物过程培养</t>
        </is>
      </c>
      <c r="C44" t="inlineStr">
        <is>
          <t>微型平行生物反应器</t>
        </is>
      </c>
      <c r="D44" t="inlineStr">
        <is>
          <t>Sartorius ambr 250 High Throughput / Microbial</t>
        </is>
      </c>
      <c r="E44" t="inlineStr">
        <is>
          <t>图片生成stl</t>
        </is>
      </c>
      <c r="F44" t="inlineStr">
        <is>
          <t>列表, 参考</t>
        </is>
      </c>
      <c r="G44" t="inlineStr">
        <is>
          <t>第三方3D模型可用, 未发现官方STEP/URDF/Xacro</t>
        </is>
      </c>
      <c r="H44" t="inlineStr">
        <is>
          <t>进口标杆</t>
        </is>
      </c>
      <c r="I44" t="inlineStr">
        <is>
          <t>候选</t>
        </is>
      </c>
      <c r="J44" t="inlineStr">
        <is>
          <t>待询价</t>
        </is>
      </c>
      <c r="K44" t="inlineStr">
        <is>
          <t>待询价</t>
        </is>
      </c>
      <c r="L44" t="inlineStr">
        <is>
          <t>待确认</t>
        </is>
      </c>
      <c r="M44" t="inlineStr">
        <is>
          <t>12/24个100–250 mL一次性反应器并行，带自动液体处理，适合菌株、培养基、补料和DO/pH/通气筛选。agitation 100–4500 rpm；pH/DO/尾气/泵/气体控制。</t>
        </is>
      </c>
      <c r="N44" t="inlineStr">
        <is>
          <t>标准候选</t>
        </is>
      </c>
      <c r="O44" t="inlineStr">
        <is>
          <t>HW-3 微型平行发酵与生物过程培养</t>
        </is>
      </c>
      <c r="P44" t="inlineStr">
        <is>
          <t>在线调研补充</t>
        </is>
      </c>
      <c r="Q44" t="inlineStr">
        <is>
          <t>online-20260709</t>
        </is>
      </c>
      <c r="R44" t="inlineStr">
        <is>
          <t>标准/进口</t>
        </is>
      </c>
      <c r="S44" t="inlineStr">
        <is>
          <t>中</t>
        </is>
      </c>
      <c r="T44" t="inlineStr">
        <is>
          <t>第三方Tripo Studio模型命中：页面标题为 Sartorius AMBR 250 High Throughput Bioreactor System，并标注可下载 STL、3MF、FBX、GLB、OBJ、USDZ 等格式；未单独写明 Microbial 版本，但命中 ambr 250 High Throughput。</t>
        </is>
      </c>
      <c r="U44" s="2" t="str">
        <f>=HYPERLINK("https://studio.tripo3d.ai/3d-model/sartorius-ambr-250-high-throughput-bioreactor-system-with-multiple-cul-18e50ef1-e6d1-4212-9cf6-4bfab3c4ee0b", "https://studio.tripo3d.ai/3d-model/sartorius-ambr-250-high-throughput-bioreactor-system-with-multiple-cul-18e50ef1-e6d1-4212-9cf6-4bfab3c4ee0b")</f>
        <v>https://studio.tripo3d.ai/3d-model/sartorius-ambr-250-high-throughput-bioreactor-system-with-multiple-cul-18e50ef1-e6d1-4212-9cf6-4bfab3c4ee0b</v>
      </c>
      <c r="V44" s="2" t="str">
        <f>=HYPERLINK("https://www.sartorius.com/en/products/fermentation-bioreactors/ambr-multi-parallel-bioreactors/ambr-250-high-throughput
https://shop.sartorius.com/us/p/ambr-250-high-throughput-system--24-vessels/001-8G102-P
https://api.sartorius.com/document-hub/dam/download/297648/Ambr-250-HT-Gen2-Datasheet-en-B.pdf", "https://www.sartorius.com/en/products/fermentation-bioreactors/ambr-multi-parallel-bioreactors/ambr-250-high-throughput,https://shop.sartorius.com/us/p/ambr-250-high-throughput-system--24-vessels/001-8G102-P,https://api.sartorius.com/document-hub/dam/download/297648/Ambr-250-HT-Gen2-Datasheet-en-B.pdf")</f>
        <v>https://www.sartorius.com/en/products/fermentation-bioreactors/ambr-multi-parallel-bioreactors/ambr-250-high-throughput,https://shop.sartorius.com/us/p/ambr-250-high-throughput-system--24-vessels/001-8G102-P,https://api.sartorius.com/document-hub/dam/download/297648/Ambr-250-HT-Gen2-Datasheet-en-B.pdf</v>
      </c>
      <c r="W44" t="inlineStr">
        <is>
          <t>第三方Tripo 3D asset 可作为外观/占位模型来源；非官方模型，采购/仿真前需核对尺度与接口位置；官方STEP/URDF/Xacro仍未发现。</t>
        </is>
      </c>
      <c r="X44" t="inlineStr">
        <is>
          <t>微型平行生物反应器系统（含过程控制与补料工作站、联动接口集成模块）</t>
        </is>
      </c>
      <c r="Y44" t="inlineStr">
        <is>
          <t>{"宽mm": 4000, "深mm": 1150, "高mm": 2490, "重量kg": "未找到官方公开重量", "占地/安装备注": "24-vessel High Throughput system；12-vessel约2000×1150×2490 mm；需考虑analytics furniture、气源、废液和维护空间。", "尺寸来源URL": "https://shop.sartorius.com/us/p/ambr-250-high-throughput-system--24-vessels/001-8G102-P；https://api.sartorius.com/document-hub/dam/download/297648/Ambr-250-HT-Gen2-Datasheet-en-B.pdf"}</t>
        </is>
      </c>
      <c r="Z44"/>
    </row>
    <row r="45" ht="25.5" customHeight="1">
      <c r="A45" t="inlineStr">
        <is>
          <t>迪必尔 T&amp;J CloudReady / T&amp;J-Qtype / T&amp;J-Minibox</t>
        </is>
      </c>
      <c r="B45" t="inlineStr">
        <is>
          <t>HW-3 微型平行发酵与生物过程培养</t>
        </is>
      </c>
      <c r="C45" t="inlineStr">
        <is>
          <t>国产平行生物反应器</t>
        </is>
      </c>
      <c r="D45" t="inlineStr">
        <is>
          <t>迪必尔 T&amp;J CloudReady / T&amp;J-Qtype / T&amp;J-Minibox</t>
        </is>
      </c>
      <c r="E45"/>
      <c r="F45" t="inlineStr">
        <is>
          <t>AI</t>
        </is>
      </c>
      <c r="G45" t="inlineStr">
        <is>
          <t>未发现STL/STEP/URDF</t>
        </is>
      </c>
      <c r="H45" t="inlineStr">
        <is>
          <t>国产替代候选</t>
        </is>
      </c>
      <c r="I45" t="inlineStr">
        <is>
          <t>候选</t>
        </is>
      </c>
      <c r="J45" t="inlineStr">
        <is>
          <t>待询价</t>
        </is>
      </c>
      <c r="K45" t="inlineStr">
        <is>
          <t>待询价</t>
        </is>
      </c>
      <c r="L45" t="inlineStr">
        <is>
          <t>待确认</t>
        </is>
      </c>
      <c r="M45" t="inlineStr">
        <is>
          <t>覆盖微生物发酵、细胞培养、DoE工艺开发；可配置多联并行反应器。CloudReady支持500 mL/1.5 L小体积罐；T&amp;J-Qtype可6/12/24/48联或更多。</t>
        </is>
      </c>
      <c r="N45" t="inlineStr">
        <is>
          <t>国产候选</t>
        </is>
      </c>
      <c r="O45" t="inlineStr">
        <is>
          <t>HW-3 微型平行发酵与生物过程培养</t>
        </is>
      </c>
      <c r="P45" t="inlineStr">
        <is>
          <t>在线调研补充</t>
        </is>
      </c>
      <c r="Q45" t="inlineStr">
        <is>
          <t>online-20260709</t>
        </is>
      </c>
      <c r="R45" t="inlineStr">
        <is>
          <t>国产</t>
        </is>
      </c>
      <c r="S45" t="inlineStr">
        <is>
          <t>低</t>
        </is>
      </c>
      <c r="T45" t="inlineStr">
        <is>
          <t>公开检索未发现几何模型。</t>
        </is>
      </c>
      <c r="U45" s="2"/>
      <c r="V45" s="2" t="str">
        <f>=HYPERLINK("https://www.tjxbio.com/classics
https://www.tjxbio.com/_files/ugd/2158e7_d712716aa6d046d2bc023e9cd3b85f6e.pdf
https://www.instrument.com.cn/netshow/SH108389/C483224.htm", "https://www.tjxbio.com/classics,https://www.tjxbio.com/_files/ugd/2158e7_d712716aa6d046d2bc023e9cd3b85f6e.pdf,https://www.instrument.com.cn/netshow/SH108389/C483224.htm")</f>
        <v>https://www.tjxbio.com/classics,https://www.tjxbio.com/_files/ugd/2158e7_d712716aa6d046d2bc023e9cd3b85f6e.pdf,https://www.instrument.com.cn/netshow/SH108389/C483224.htm</v>
      </c>
      <c r="W45" t="inlineStr">
        <is>
          <t>未找到公开STL/STEP/URDF；建议采购阶段要求厂家提供STEP/footprint。</t>
        </is>
      </c>
      <c r="X45" t="inlineStr">
        <is>
          <t>微型平行生物反应器系统（含过程控制与补料工作站、联动接口集成模块）</t>
        </is>
      </c>
      <c r="Y45" t="inlineStr">
        <is>
          <t>{"宽mm": "CloudReady/Minibox未找到整机官方宽度；T&amp;J-Qtype 4联3–15 L参考为1850，6联为2700", "深mm": "CloudReady/Minibox未找到整机官方深度；T&amp;J-Qtype参考为700", "高mm": "CloudReady/Minibox未找到整机官方高度；T&amp;J-Qtype参考为900", "重量kg": "未找到官方公开重量", "占地/安装备注": "CloudReady 500 mL/1.5 L与ambr 250更接近；公开资料仅找到罐体尺寸，需厂家确认微型配置实际尺寸。", "尺寸来源URL": "https://www.tjxbio.com/_files/ugd/2158e7_d712716aa6d046d2bc023e9cd3b85f6e.pdf；https://www.tjxbio.com/_files/ugd/2158e7_ea744f66469743a98f27551cb5a17c6e.pdf；https://www.instrument.com.cn/netshow/SH108389/C483224.htm"}</t>
        </is>
      </c>
      <c r="Z45"/>
    </row>
    <row r="46" ht="25.5" customHeight="1">
      <c r="A46" t="inlineStr">
        <is>
          <t>Metrohm/Enwave ProRaman-L</t>
        </is>
      </c>
      <c r="B46" t="inlineStr">
        <is>
          <t>HW-4 发酵过程在线监测与蛋白稳定性表征</t>
        </is>
      </c>
      <c r="C46" t="inlineStr">
        <is>
          <t>在线 Raman 过程光谱仪</t>
        </is>
      </c>
      <c r="D46" t="inlineStr">
        <is>
          <t>Metrohm/Enwave ProRaman-L</t>
        </is>
      </c>
      <c r="E46" t="inlineStr">
        <is>
          <t>准备中</t>
        </is>
      </c>
      <c r="F46" t="inlineStr">
        <is>
          <t>列表, 参考</t>
        </is>
      </c>
      <c r="G46" t="inlineStr">
        <is>
          <t>未发现STL/Xacro/CAD/STEP</t>
        </is>
      </c>
      <c r="H46" t="inlineStr">
        <is>
          <t>进口</t>
        </is>
      </c>
      <c r="I46" t="inlineStr">
        <is>
          <t>候选</t>
        </is>
      </c>
      <c r="J46" t="inlineStr">
        <is>
          <t>待询价</t>
        </is>
      </c>
      <c r="K46" t="inlineStr">
        <is>
          <t>待询价</t>
        </is>
      </c>
      <c r="L46" t="inlineStr">
        <is>
          <t>待确认</t>
        </is>
      </c>
      <c r="M46" t="inlineStr">
        <is>
          <t>光纤Raman主机，可接过程/反应体系探头；适合HW-4在线Raman原型。532/785 nm；CCD制冷至-60°C。</t>
        </is>
      </c>
      <c r="N46" t="inlineStr">
        <is>
          <t>标准候选</t>
        </is>
      </c>
      <c r="O46" t="inlineStr">
        <is>
          <t>HW-4 发酵过程在线监测与蛋白稳定性表征</t>
        </is>
      </c>
      <c r="P46" t="inlineStr">
        <is>
          <t>在线调研补充</t>
        </is>
      </c>
      <c r="Q46" t="inlineStr">
        <is>
          <t>online-20260709</t>
        </is>
      </c>
      <c r="R46" t="inlineStr">
        <is>
          <t>标准/进口</t>
        </is>
      </c>
      <c r="S46" t="inlineStr">
        <is>
          <t>低</t>
        </is>
      </c>
      <c r="T46" t="inlineStr">
        <is>
          <t>公开检索未发现几何模型；部分仅有数据解析/协议类GitHub或PDF资料。</t>
        </is>
      </c>
      <c r="U46" s="2"/>
      <c r="V46" s="2" t="str">
        <f>=HYPERLINK("https://enwaveopt.com/ProRaman-L.html
https://tsi.com/getmedia/b6737514-66f2-45a5-a1ad-15ab7630b85f/ProRaman-L_US_5001586_WEB?ext=.pdf", "https://enwaveopt.com/ProRaman-L.html,https://tsi.com/getmedia/b6737514-66f2-45a5-a1ad-15ab7630b85f/ProRaman-L_US_5001586_WEB?ext=.pdf")</f>
        <v>https://enwaveopt.com/ProRaman-L.html,https://tsi.com/getmedia/b6737514-66f2-45a5-a1ad-15ab7630b85f/ProRaman-L_US_5001586_WEB?ext=.pdf</v>
      </c>
      <c r="W46" t="inlineStr">
        <is>
          <t>未找到公开官方STL/Xacro/CAD/URDF/STEP；如需仿真建议索取厂家STEP/外形CAD或用尺寸建立占位模型。</t>
        </is>
      </c>
      <c r="X46" t="inlineStr">
        <is>
          <t>在线拉曼/近红外过程分析探头</t>
        </is>
      </c>
      <c r="Y46" t="inlineStr">
        <is>
          <t>{"宽mm": 242, "深mm": 134, "高mm": 185, "重量kg": 6.8, "占地/安装备注": "ProRaman-L主机；不同配置差异，采购前以报价单确认。", "尺寸来源URL": "https://www.tokyoinst.co.jp/product_file/file/EW01_cat02_ja.pdf"}</t>
        </is>
      </c>
      <c r="Z46"/>
    </row>
    <row r="47" ht="25.5" customHeight="1">
      <c r="A47" t="inlineStr">
        <is>
          <t>Metrohm NIRS XDS Process Analyzer – SingleFiber / MicroBundle</t>
        </is>
      </c>
      <c r="B47" t="inlineStr">
        <is>
          <t>HW-4 发酵过程在线监测与蛋白稳定性表征</t>
        </is>
      </c>
      <c r="C47" t="inlineStr">
        <is>
          <t>在线 NIR 过程分析仪</t>
        </is>
      </c>
      <c r="D47" t="inlineStr">
        <is>
          <t>Metrohm NIRS XDS Process Analyzer – SingleFiber / MicroBundle</t>
        </is>
      </c>
      <c r="E47"/>
      <c r="F47" t="inlineStr">
        <is>
          <t>AI</t>
        </is>
      </c>
      <c r="G47" t="inlineStr">
        <is>
          <t>未发现STL/Xacro/CAD/STEP</t>
        </is>
      </c>
      <c r="H47" t="inlineStr">
        <is>
          <t>进口</t>
        </is>
      </c>
      <c r="I47" t="inlineStr">
        <is>
          <t>候选</t>
        </is>
      </c>
      <c r="J47" t="inlineStr">
        <is>
          <t>待询价</t>
        </is>
      </c>
      <c r="K47" t="inlineStr">
        <is>
          <t>待询价</t>
        </is>
      </c>
      <c r="L47" t="inlineStr">
        <is>
          <t>待确认</t>
        </is>
      </c>
      <c r="M47" t="inlineStr">
        <is>
          <t>在线NIR process probe，可接反应釜、流通池或process line。SingleFiber/MicroBundle；多通道；实时NIR。</t>
        </is>
      </c>
      <c r="N47" t="inlineStr">
        <is>
          <t>标准候选</t>
        </is>
      </c>
      <c r="O47" t="inlineStr">
        <is>
          <t>HW-4 发酵过程在线监测与蛋白稳定性表征</t>
        </is>
      </c>
      <c r="P47" t="inlineStr">
        <is>
          <t>在线调研补充</t>
        </is>
      </c>
      <c r="Q47" t="inlineStr">
        <is>
          <t>online-20260709</t>
        </is>
      </c>
      <c r="R47" t="inlineStr">
        <is>
          <t>标准/进口</t>
        </is>
      </c>
      <c r="S47" t="inlineStr">
        <is>
          <t>低</t>
        </is>
      </c>
      <c r="T47" t="inlineStr">
        <is>
          <t>公开检索未发现几何模型；部分仅有数据解析/协议类GitHub或PDF资料。</t>
        </is>
      </c>
      <c r="U47" s="2"/>
      <c r="V47" s="2" t="str">
        <f>=HYPERLINK("https://www.metrohm.com/en/products/2/9280/29280230.html
https://www.metrohm.com/en/products/a/6292/a629280130c.html", "https://www.metrohm.com/en/products/2/9280/29280230.html,https://www.metrohm.com/en/products/a/6292/a629280130c.html")</f>
        <v>https://www.metrohm.com/en/products/2/9280/29280230.html,https://www.metrohm.com/en/products/a/6292/a629280130c.html</v>
      </c>
      <c r="W47" t="inlineStr">
        <is>
          <t>未找到公开官方STL/Xacro/CAD/URDF/STEP；如需仿真建议索取厂家STEP/外形CAD或用尺寸建立占位模型。</t>
        </is>
      </c>
      <c r="X47" t="inlineStr">
        <is>
          <t>在线拉曼/近红外过程分析探头</t>
        </is>
      </c>
      <c r="Y47" t="inlineStr">
        <is>
          <t>{"宽mm": 489, "深mm": 356, "高mm": 610, "重量kg": 41.9, "占地/安装备注": "壁挂/机柜式；带purge/空调选件尺寸可至约776.3×357.2×773.5 mm，60.8 kg。", "尺寸来源URL": "https://manualmachine.com/metrohm/nirsxds/1624761-user-manual/"}</t>
        </is>
      </c>
      <c r="Z47"/>
    </row>
    <row r="48" ht="25.5" customHeight="1">
      <c r="A48" t="inlineStr">
        <is>
          <t>Thermo Scientific MarqMetrix All-In-One Process Raman Analyzer + BioReactor BallProbe</t>
        </is>
      </c>
      <c r="B48" t="inlineStr">
        <is>
          <t>HW-4 发酵过程在线监测与蛋白稳定性表征</t>
        </is>
      </c>
      <c r="C48" t="inlineStr">
        <is>
          <t>在线 Raman 生物反应器探头+分析仪</t>
        </is>
      </c>
      <c r="D48" t="inlineStr">
        <is>
          <t>Thermo Scientific MarqMetrix All-In-One Process Raman Analyzer + BioReactor BallProbe</t>
        </is>
      </c>
      <c r="E48"/>
      <c r="F48" t="inlineStr">
        <is>
          <t>AI</t>
        </is>
      </c>
      <c r="G48" t="inlineStr">
        <is>
          <t>未发现STL/Xacro/CAD/STEP</t>
        </is>
      </c>
      <c r="H48" t="inlineStr">
        <is>
          <t>进口</t>
        </is>
      </c>
      <c r="I48" t="inlineStr">
        <is>
          <t>候选</t>
        </is>
      </c>
      <c r="J48" t="inlineStr">
        <is>
          <t>待询价</t>
        </is>
      </c>
      <c r="K48" t="inlineStr">
        <is>
          <t>待询价</t>
        </is>
      </c>
      <c r="L48" t="inlineStr">
        <is>
          <t>待确认</t>
        </is>
      </c>
      <c r="M48" t="inlineStr">
        <is>
          <t>生物反应器inline Raman匹配度高，BallProbe可接标准生物反应器端口。785 nm；100–3250 cm⁻¹；Pg13.5。</t>
        </is>
      </c>
      <c r="N48" t="inlineStr">
        <is>
          <t>标准候选</t>
        </is>
      </c>
      <c r="O48" t="inlineStr">
        <is>
          <t>HW-4 发酵过程在线监测与蛋白稳定性表征</t>
        </is>
      </c>
      <c r="P48" t="inlineStr">
        <is>
          <t>在线调研补充</t>
        </is>
      </c>
      <c r="Q48" t="inlineStr">
        <is>
          <t>online-20260709</t>
        </is>
      </c>
      <c r="R48" t="inlineStr">
        <is>
          <t>标准/进口</t>
        </is>
      </c>
      <c r="S48" t="inlineStr">
        <is>
          <t>低</t>
        </is>
      </c>
      <c r="T48" t="inlineStr">
        <is>
          <t>公开检索未发现几何模型；部分仅有数据解析/协议类GitHub或PDF资料。</t>
        </is>
      </c>
      <c r="U48" s="2"/>
      <c r="V48" s="2" t="str">
        <f>=HYPERLINK("https://www.thermofisher.com/order/catalog/product/MARQMETRIXAIO
https://www.thermofisher.com/order/catalog/product/840-402600", "https://www.thermofisher.com/order/catalog/product/MARQMETRIXAIO,https://www.thermofisher.com/order/catalog/product/840-402600")</f>
        <v>https://www.thermofisher.com/order/catalog/product/MARQMETRIXAIO,https://www.thermofisher.com/order/catalog/product/840-402600</v>
      </c>
      <c r="W48" t="inlineStr">
        <is>
          <t>未找到公开官方STL/Xacro/CAD/URDF/STEP；如需仿真建议索取厂家STEP/外形CAD或用尺寸建立占位模型。</t>
        </is>
      </c>
      <c r="X48" t="inlineStr">
        <is>
          <t>在线拉曼/近红外过程分析探头</t>
        </is>
      </c>
      <c r="Y48" t="inlineStr">
        <is>
          <t>{"宽mm": 250, "深mm": 250, "高mm": 77, "重量kg": "未找到", "占地/安装备注": "主机可堆叠；探头需Pg13.5或12 mm DO端口，考虑光纤弯曲半径、CIP/SIP。", "尺寸来源URL": "https://documents.thermofisher.com/TFS-Assets/CAD/Datasheets/marqmetrix-all-in-one-ds.pdf"}</t>
        </is>
      </c>
      <c r="Z48"/>
    </row>
    <row r="49" ht="25.5" customHeight="1">
      <c r="A49" t="inlineStr">
        <is>
          <t>Ocean Optics/Ocean Insight QE Pro Raman+ / Ocean HDX Raman / NIRQuest+ + process probe</t>
        </is>
      </c>
      <c r="B49" t="inlineStr">
        <is>
          <t>HW-4 发酵过程在线监测与蛋白稳定性表征</t>
        </is>
      </c>
      <c r="C49" t="inlineStr">
        <is>
          <t>模块化 Raman/NIR 国产化可替代方案</t>
        </is>
      </c>
      <c r="D49" t="inlineStr">
        <is>
          <t>Ocean Optics/Ocean Insight QE Pro Raman+ / Ocean HDX Raman / NIRQuest+ + process probe</t>
        </is>
      </c>
      <c r="E49"/>
      <c r="F49" t="inlineStr">
        <is>
          <t>列表, 参考</t>
        </is>
      </c>
      <c r="G49" t="inlineStr">
        <is>
          <t>未发现STL/Xacro/CAD/STEP</t>
        </is>
      </c>
      <c r="H49" t="inlineStr">
        <is>
          <t>进口模块, 可国产化集成</t>
        </is>
      </c>
      <c r="I49" t="inlineStr">
        <is>
          <t>候选</t>
        </is>
      </c>
      <c r="J49" t="inlineStr">
        <is>
          <t>待询价</t>
        </is>
      </c>
      <c r="K49" t="inlineStr">
        <is>
          <t>待询价</t>
        </is>
      </c>
      <c r="L49" t="inlineStr">
        <is>
          <t>待确认</t>
        </is>
      </c>
      <c r="M49" t="inlineStr">
        <is>
          <t>适合搭建可二次开发低成本在线Raman/NIR原型；可用国产光谱仪、785 nm激光器、浸入式探头替代。</t>
        </is>
      </c>
      <c r="N49" t="inlineStr">
        <is>
          <t>标准候选</t>
        </is>
      </c>
      <c r="O49" t="inlineStr">
        <is>
          <t>HW-4 发酵过程在线监测与蛋白稳定性表征</t>
        </is>
      </c>
      <c r="P49" t="inlineStr">
        <is>
          <t>在线调研补充</t>
        </is>
      </c>
      <c r="Q49" t="inlineStr">
        <is>
          <t>online-20260709</t>
        </is>
      </c>
      <c r="R49" t="inlineStr">
        <is>
          <t>标准/进口</t>
        </is>
      </c>
      <c r="S49" t="inlineStr">
        <is>
          <t>低</t>
        </is>
      </c>
      <c r="T49" t="inlineStr">
        <is>
          <t>公开检索未发现几何模型；部分仅有数据解析/协议类GitHub或PDF资料。</t>
        </is>
      </c>
      <c r="U49" s="2"/>
      <c r="V49" s="2" t="str">
        <f>=HYPERLINK("https://www.oceanoptics.com/accessories/sampling-accessories/dual-wavelength-and-industrial-process-raman-probes/
https://www.oceanoptics.com/spectrometers/near-infrared-spectrometers/", "https://www.oceanoptics.com/accessories/sampling-accessories/dual-wavelength-and-industrial-process-raman-probes/,https://www.oceanoptics.com/spectrometers/near-infrared-spectrometers/")</f>
        <v>https://www.oceanoptics.com/accessories/sampling-accessories/dual-wavelength-and-industrial-process-raman-probes/,https://www.oceanoptics.com/spectrometers/near-infrared-spectrometers/</v>
      </c>
      <c r="W49" t="inlineStr">
        <is>
          <t>未找到公开官方STL/Xacro/CAD/URDF/STEP；如需仿真建议索取厂家STEP/外形CAD或用尺寸建立占位模型。</t>
        </is>
      </c>
      <c r="X49" t="inlineStr">
        <is>
          <t>在线拉曼/近红外过程分析探头</t>
        </is>
      </c>
      <c r="Y49" t="inlineStr">
        <is>
          <t>{"宽mm": 110, "深mm": 182, "高mm": 47, "重量kg": 1.15, "占地/安装备注": "代表尺寸为QE Pro Raman+主机，不含激光器、探头、电源、光纤和安装支架。", "尺寸来源URL": "https://www.oceanoptics.com/wp-content/uploads/2025/03/Ocean_QE_Pro_Raman_Plus_Spectrometer_ProductSheet.pdf"}</t>
        </is>
      </c>
      <c r="Z49"/>
    </row>
    <row r="50" ht="25.5" customHeight="1">
      <c r="A50" t="inlineStr">
        <is>
          <t>JINSP 鉴知技术 RS2000/RS2100 Online Raman Analyzer</t>
        </is>
      </c>
      <c r="B50" t="inlineStr">
        <is>
          <t>HW-4 发酵过程在线监测与蛋白稳定性表征</t>
        </is>
      </c>
      <c r="C50" t="inlineStr">
        <is>
          <t>国产在线 Raman 分析仪</t>
        </is>
      </c>
      <c r="D50" t="inlineStr">
        <is>
          <t>JINSP 鉴知技术 RS2000/RS2100 Online Raman Analyzer</t>
        </is>
      </c>
      <c r="E50"/>
      <c r="F50" t="inlineStr">
        <is>
          <t>AI</t>
        </is>
      </c>
      <c r="G50" t="inlineStr">
        <is>
          <t>未发现STL/Xacro/CAD/STEP</t>
        </is>
      </c>
      <c r="H50" t="inlineStr">
        <is>
          <t>国产</t>
        </is>
      </c>
      <c r="I50" t="inlineStr">
        <is>
          <t>候选</t>
        </is>
      </c>
      <c r="J50" t="inlineStr">
        <is>
          <t>待询价</t>
        </is>
      </c>
      <c r="K50" t="inlineStr">
        <is>
          <t>待询价</t>
        </is>
      </c>
      <c r="L50" t="inlineStr">
        <is>
          <t>待确认</t>
        </is>
      </c>
      <c r="M50" t="inlineStr">
        <is>
          <t>官方定位原位、实时、连续多组分监测，覆盖生物发酵、酶催化等。785/1064 nm；35 cm浸入探头可定制。</t>
        </is>
      </c>
      <c r="N50" t="inlineStr">
        <is>
          <t>国产候选</t>
        </is>
      </c>
      <c r="O50" t="inlineStr">
        <is>
          <t>HW-4 发酵过程在线监测与蛋白稳定性表征</t>
        </is>
      </c>
      <c r="P50" t="inlineStr">
        <is>
          <t>在线调研补充</t>
        </is>
      </c>
      <c r="Q50" t="inlineStr">
        <is>
          <t>online-20260709</t>
        </is>
      </c>
      <c r="R50" t="inlineStr">
        <is>
          <t>国产</t>
        </is>
      </c>
      <c r="S50" t="inlineStr">
        <is>
          <t>低</t>
        </is>
      </c>
      <c r="T50" t="inlineStr">
        <is>
          <t>公开检索未发现几何模型；部分仅有数据解析/协议类GitHub或PDF资料。</t>
        </is>
      </c>
      <c r="U50" s="2"/>
      <c r="V50" s="2" t="str">
        <f>=HYPERLINK("https://www.jinsptech.com/rs2000rs2100-online-raman-analyzer-product/", "https://www.jinsptech.com/rs2000rs2100-online-raman-analyzer-product/")</f>
        <v>https://www.jinsptech.com/rs2000rs2100-online-raman-analyzer-product/</v>
      </c>
      <c r="W50" t="inlineStr">
        <is>
          <t>未找到公开官方STL/Xacro/CAD/URDF/STEP；如需仿真建议索取厂家STEP/外形CAD或用尺寸建立占位模型。</t>
        </is>
      </c>
      <c r="X50" t="inlineStr">
        <is>
          <t>在线拉曼/近红外过程分析探头</t>
        </is>
      </c>
      <c r="Y50" t="inlineStr">
        <is>
          <t>{"宽mm": "未找到", "深mm": "未找到", "高mm": "未找到", "重量kg": "未找到", "占地/安装备注": "官方页面/PDF仅找到探头长度35 cm、工作温度等；非官方尺寸未采用。", "尺寸来源URL": "https://www.jinsptech.com/uploads/3-RS2000-42100-4ev20240507.pdf"}</t>
        </is>
      </c>
      <c r="Z50"/>
    </row>
    <row r="51" ht="25.5" customHeight="1">
      <c r="A51" t="inlineStr">
        <is>
          <t>上海复享光学 Ramtrace 在线拉曼光谱仪</t>
        </is>
      </c>
      <c r="B51" t="inlineStr">
        <is>
          <t>HW-4 发酵过程在线监测与蛋白稳定性表征</t>
        </is>
      </c>
      <c r="C51" t="inlineStr">
        <is>
          <t>国产在线 Raman 发酵监测方案</t>
        </is>
      </c>
      <c r="D51" t="inlineStr">
        <is>
          <t>上海复享光学 Ramtrace 在线拉曼光谱仪</t>
        </is>
      </c>
      <c r="E51"/>
      <c r="F51" t="inlineStr">
        <is>
          <t>AI</t>
        </is>
      </c>
      <c r="G51" t="inlineStr">
        <is>
          <t>未发现STL/Xacro/CAD/STEP</t>
        </is>
      </c>
      <c r="H51" t="inlineStr">
        <is>
          <t>国产</t>
        </is>
      </c>
      <c r="I51" t="inlineStr">
        <is>
          <t>候选</t>
        </is>
      </c>
      <c r="J51" t="inlineStr">
        <is>
          <t>待询价</t>
        </is>
      </c>
      <c r="K51" t="inlineStr">
        <is>
          <t>待询价</t>
        </is>
      </c>
      <c r="L51" t="inlineStr">
        <is>
          <t>待确认</t>
        </is>
      </c>
      <c r="M51" t="inlineStr">
        <is>
          <t>发酵罐原位Raman，分钟级监测葡萄糖、乳酸、氨基酸、细胞密度等。785 nm；PG13.5浸入式探头；OPC联动。</t>
        </is>
      </c>
      <c r="N51" t="inlineStr">
        <is>
          <t>国产候选</t>
        </is>
      </c>
      <c r="O51" t="inlineStr">
        <is>
          <t>HW-4 发酵过程在线监测与蛋白稳定性表征</t>
        </is>
      </c>
      <c r="P51" t="inlineStr">
        <is>
          <t>在线调研补充</t>
        </is>
      </c>
      <c r="Q51" t="inlineStr">
        <is>
          <t>online-20260709</t>
        </is>
      </c>
      <c r="R51" t="inlineStr">
        <is>
          <t>国产</t>
        </is>
      </c>
      <c r="S51" t="inlineStr">
        <is>
          <t>低</t>
        </is>
      </c>
      <c r="T51" t="inlineStr">
        <is>
          <t>公开检索未发现几何模型；部分仅有数据解析/协议类GitHub或PDF资料。</t>
        </is>
      </c>
      <c r="U51" s="2"/>
      <c r="V51" s="2" t="str">
        <f>=HYPERLINK("https://www.instrument.com.cn/netshow/SH102332/news_901814.htm
https://www.ideaoptics.com/", "https://www.instrument.com.cn/netshow/SH102332/news_901814.htm,https://www.ideaoptics.com/")</f>
        <v>https://www.instrument.com.cn/netshow/SH102332/news_901814.htm,https://www.ideaoptics.com/</v>
      </c>
      <c r="W51" t="inlineStr">
        <is>
          <t>未找到公开官方STL/Xacro/CAD/URDF/STEP；如需仿真建议索取厂家STEP/外形CAD或用尺寸建立占位模型。</t>
        </is>
      </c>
      <c r="X51" t="inlineStr">
        <is>
          <t>在线拉曼/近红外过程分析探头</t>
        </is>
      </c>
      <c r="Y51" t="inlineStr">
        <is>
          <t>{"宽mm": "未找到", "深mm": "未找到", "高mm": "未找到", "重量kg": "未找到", "占地/安装备注": "未找到公开官方外形尺寸；安装重点是PG13.5接口、探头浸入深度和光纤走线。", "尺寸来源URL": "https://www.instrument.com.cn/netshow/sh102332/news_901814.htm"}</t>
        </is>
      </c>
      <c r="Z51"/>
    </row>
    <row r="52" ht="25.5" customHeight="1">
      <c r="A52" t="inlineStr">
        <is>
          <t>Unchained Labs Uncle</t>
        </is>
      </c>
      <c r="B52" t="inlineStr">
        <is>
          <t>HW-4 发酵过程在线监测与蛋白稳定性表征</t>
        </is>
      </c>
      <c r="C52" t="inlineStr">
        <is>
          <t>蛋白稳定性/聚集/粒径表征</t>
        </is>
      </c>
      <c r="D52" t="inlineStr">
        <is>
          <t>Unchained Labs Uncle</t>
        </is>
      </c>
      <c r="E52" t="inlineStr">
        <is>
          <t>准备中</t>
        </is>
      </c>
      <c r="F52" t="inlineStr">
        <is>
          <t>列表, 参考</t>
        </is>
      </c>
      <c r="G52" t="inlineStr">
        <is>
          <t>未发现STL/Xacro/CAD/STEP</t>
        </is>
      </c>
      <c r="H52" t="inlineStr">
        <is>
          <t>进口, 国内有渠道</t>
        </is>
      </c>
      <c r="I52" t="inlineStr">
        <is>
          <t>候选</t>
        </is>
      </c>
      <c r="J52" t="inlineStr">
        <is>
          <t>待询价</t>
        </is>
      </c>
      <c r="K52" t="inlineStr">
        <is>
          <t>待询价</t>
        </is>
      </c>
      <c r="L52" t="inlineStr">
        <is>
          <t>待确认</t>
        </is>
      </c>
      <c r="M52" t="inlineStr">
        <is>
          <t>直接匹配蛋白稳定性：荧光、SLS、DLS一体化。9 µL；48样；15–95°C；Tm、Tagg、DLS粒径。</t>
        </is>
      </c>
      <c r="N52" t="inlineStr">
        <is>
          <t>标准候选</t>
        </is>
      </c>
      <c r="O52" t="inlineStr">
        <is>
          <t>HW-4 发酵过程在线监测与蛋白稳定性表征</t>
        </is>
      </c>
      <c r="P52" t="inlineStr">
        <is>
          <t>在线调研补充</t>
        </is>
      </c>
      <c r="Q52" t="inlineStr">
        <is>
          <t>online-20260709</t>
        </is>
      </c>
      <c r="R52" t="inlineStr">
        <is>
          <t>标准/进口</t>
        </is>
      </c>
      <c r="S52" t="inlineStr">
        <is>
          <t>低</t>
        </is>
      </c>
      <c r="T52" t="inlineStr">
        <is>
          <t>公开检索未发现几何模型；部分仅有数据解析/协议类GitHub或PDF资料。</t>
        </is>
      </c>
      <c r="U52" s="2"/>
      <c r="V52" s="2" t="str">
        <f>=HYPERLINK("https://www.unchainedlabs.com/wp-content/uploads/2022/07/UNcle_brochure_RevG.pdf
https://github.com/eric-hunt/UNcleR/", "https://www.unchainedlabs.com/wp-content/uploads/2022/07/UNcle_brochure_RevG.pdf,https://github.com/eric-hunt/UNcleR/")</f>
        <v>https://www.unchainedlabs.com/wp-content/uploads/2022/07/UNcle_brochure_RevG.pdf,https://github.com/eric-hunt/UNcleR/</v>
      </c>
      <c r="W52" t="inlineStr">
        <is>
          <t>未找到公开官方STL/Xacro/CAD/URDF/STEP；如需仿真建议索取厂家STEP/外形CAD或用尺寸建立占位模型。</t>
        </is>
      </c>
      <c r="X52" t="inlineStr">
        <is>
          <t>多模式蛋白稳定性分析系统</t>
        </is>
      </c>
      <c r="Y52" t="inlineStr">
        <is>
          <t>{"宽mm": 540, "深mm": 500, "高mm": 580, "重量kg": 50, "占地/安装备注": "台式仪器；110–240 VAC、最大约600 W，建议预留散热和开盖操作空间。", "尺寸来源URL": "https://technology-products.dksh.jp/product/unchained-labs-uncle/"}</t>
        </is>
      </c>
      <c r="Z52"/>
    </row>
    <row r="53" ht="25.5" customHeight="1">
      <c r="A53" t="inlineStr">
        <is>
          <t>Molecular Devices SpectraMax iD5 / iD5e</t>
        </is>
      </c>
      <c r="B53" t="inlineStr">
        <is>
          <t>HW-4 发酵过程在线监测与蛋白稳定性表征</t>
        </is>
      </c>
      <c r="C53" t="inlineStr">
        <is>
          <t>多模式酶标仪</t>
        </is>
      </c>
      <c r="D53" t="inlineStr">
        <is>
          <t>Molecular Devices SpectraMax iD5 / iD5e</t>
        </is>
      </c>
      <c r="E53" t="inlineStr">
        <is>
          <t>存在近似asset</t>
        </is>
      </c>
      <c r="F53" t="inlineStr">
        <is>
          <t>列表, 参考</t>
        </is>
      </c>
      <c r="G53" t="inlineStr">
        <is>
          <t>未发现STL/Xacro/CAD/STEP</t>
        </is>
      </c>
      <c r="H53" t="inlineStr">
        <is>
          <t>进口</t>
        </is>
      </c>
      <c r="I53" t="inlineStr">
        <is>
          <t>候选</t>
        </is>
      </c>
      <c r="J53" t="inlineStr">
        <is>
          <t>待询价</t>
        </is>
      </c>
      <c r="K53" t="inlineStr">
        <is>
          <t>待询价</t>
        </is>
      </c>
      <c r="L53" t="inlineStr">
        <is>
          <t>待确认</t>
        </is>
      </c>
      <c r="M53" t="inlineStr">
        <is>
          <t>覆盖吸收、荧光、发光、TRF、FP等高通量离线检测。6–384孔；可扩展TR-FRET/HTRF/BRET、injector。</t>
        </is>
      </c>
      <c r="N53" t="inlineStr">
        <is>
          <t>标准候选；存在近似asset：Molecular Devices SpectraMax M5e（recvoR5rw1tDCC），可作同厂商/同功能类别占位参考；未与当前型号合并。</t>
        </is>
      </c>
      <c r="O53" t="inlineStr">
        <is>
          <t>HW-4 发酵过程在线监测与蛋白稳定性表征</t>
        </is>
      </c>
      <c r="P53" t="inlineStr">
        <is>
          <t>在线调研补充</t>
        </is>
      </c>
      <c r="Q53" t="inlineStr">
        <is>
          <t>online-20260709</t>
        </is>
      </c>
      <c r="R53" t="inlineStr">
        <is>
          <t>标准/进口</t>
        </is>
      </c>
      <c r="S53" t="inlineStr">
        <is>
          <t>低</t>
        </is>
      </c>
      <c r="T53" t="inlineStr">
        <is>
          <t>公开检索未发现几何模型；部分仅有数据解析/协议类GitHub或PDF资料。</t>
        </is>
      </c>
      <c r="U53" s="2"/>
      <c r="V53" s="2" t="str">
        <f>=HYPERLINK("https://www.moleculardevices.com/products/microplate-readers/multi-mode-readers/spectramax-id3s-id5e-readers", "https://www.moleculardevices.com/products/microplate-readers/multi-mode-readers/spectramax-id3s-id5e-readers")</f>
        <v>https://www.moleculardevices.com/products/microplate-readers/multi-mode-readers/spectramax-id3s-id5e-readers</v>
      </c>
      <c r="W53" t="inlineStr">
        <is>
          <t>未找到公开官方STL/Xacro/CAD/URDF/STEP；如需仿真建议索取厂家STEP/外形CAD或用尺寸建立占位模型。</t>
        </is>
      </c>
      <c r="X53" t="inlineStr">
        <is>
          <t>多功能微孔板读板仪 / 酶标仪</t>
        </is>
      </c>
      <c r="Y53" t="inlineStr">
        <is>
          <t>{"宽mm": 532, "深mm": 598, "高mm": 401, "重量kg": 40, "占地/安装备注": "台式；robotic compatible；需平整台面并预留线缆和散热空间。", "尺寸来源URL": "https://www.nordicbiolabs.se/storage/A2A48790069A317D05B3A8B747EC0605EBFE463C02F8D9708AD5420E4E1F1853/7efe6f0fcde943349e0715236556e60d/PDF/media/17170c8f527e4d75a0ecdbd5a2e6fd2d/iD5.PDF"}</t>
        </is>
      </c>
      <c r="Z53"/>
    </row>
    <row r="54" ht="25.5" customHeight="1">
      <c r="A54" t="inlineStr">
        <is>
          <t>BMG LABTECH CLARIOstar Plus</t>
        </is>
      </c>
      <c r="B54" t="inlineStr">
        <is>
          <t>HW-4 发酵过程在线监测与蛋白稳定性表征</t>
        </is>
      </c>
      <c r="C54" t="inlineStr">
        <is>
          <t>高端多模式酶标仪</t>
        </is>
      </c>
      <c r="D54" t="inlineStr">
        <is>
          <t>BMG LABTECH CLARIOstar Plus</t>
        </is>
      </c>
      <c r="E54" t="inlineStr">
        <is>
          <t>不带可动关节urdf</t>
        </is>
      </c>
      <c r="F54" t="inlineStr">
        <is>
          <t>列表, 参考, asset</t>
        </is>
      </c>
      <c r="G54" t="inlineStr">
        <is>
          <t>URDF可用, Mesh可用</t>
        </is>
      </c>
      <c r="H54" t="inlineStr">
        <is>
          <t>进口</t>
        </is>
      </c>
      <c r="I54" t="inlineStr">
        <is>
          <t>候选</t>
        </is>
      </c>
      <c r="J54" t="inlineStr">
        <is>
          <t>待询价</t>
        </is>
      </c>
      <c r="K54" t="inlineStr">
        <is>
          <t>待询价</t>
        </is>
      </c>
      <c r="L54" t="inlineStr">
        <is>
          <t>待确认</t>
        </is>
      </c>
      <c r="M54" t="inlineStr">
        <is>
          <t>高灵敏多模式读数，适合assay development、蛋白/细胞/代谢读数。ABS/FI/LUM/FP/TRF/TR-FRET/Alpha；6–1536孔。</t>
        </is>
      </c>
      <c r="N54" t="inlineStr">
        <is>
          <t>标准候选；已合并 asset 记录：BMG Labtech CLARIOstar Plus（recvoR5rw1s4NU）；asset 设备类型：酶标仪；原因：manual_high_confidence_same_model_or_family。</t>
        </is>
      </c>
      <c r="O54" t="inlineStr">
        <is>
          <t>HW-4 发酵过程在线监测与蛋白稳定性表征</t>
        </is>
      </c>
      <c r="P54" t="inlineStr">
        <is>
          <t>在线调研补充</t>
        </is>
      </c>
      <c r="Q54" t="inlineStr">
        <is>
          <t>online-20260709</t>
        </is>
      </c>
      <c r="R54" t="inlineStr">
        <is>
          <t>标准/进口</t>
        </is>
      </c>
      <c r="S54" t="inlineStr">
        <is>
          <t>中</t>
        </is>
      </c>
      <c r="T54" t="inlineStr">
        <is>
          <t>公开检索未发现几何模型；部分仅有数据解析/协议类GitHub或PDF资料。
合并asset证据：来源工作簿 pylabrobot_model_coverage.xlsx / PLR × 模型库覆盖 第46行；模型ID：bmg_labtech_clariostar_plus；Mesh：0_base.stl；关节：—；缺失要素：moveable joints, inertial, collision。</t>
        </is>
      </c>
      <c r="U54" s="2" t="str">
        <f>=HYPERLINK("http://uni-lab-assets / pylabrobot_models", "uni-lab-assets / pylabrobot_models")</f>
        <v>uni-lab-assets / pylabrobot_models</v>
      </c>
      <c r="V54" s="2" t="str">
        <f>=HYPERLINK("https://www.bmglabtech.com/en/clariostar-plus/", "https://www.bmglabtech.com/en/clariostar-plus/")</f>
        <v>https://www.bmglabtech.com/en/clariostar-plus/</v>
      </c>
      <c r="W54" t="inlineStr">
        <is>
          <t>未找到公开官方STL/Xacro/CAD/URDF/STEP；如需仿真建议索取厂家STEP/外形CAD或用尺寸建立占位模型。
asset合并建议：已有uni-lab-assets模型，URDF完整度L2；无需结构化尺寸。Backend可按现有仿真节点模式接入。</t>
        </is>
      </c>
      <c r="X54" t="inlineStr">
        <is>
          <t>多功能微孔板读板仪 / 酶标仪</t>
        </is>
      </c>
      <c r="Y54" t="inlineStr">
        <is>
          <t>{"宽mm": 450, "深mm": 510, "高mm": 400, "重量kg": 32, "占地/安装备注": "台式；可加温控、震荡、injector、O₂/CO₂控制模块。", "尺寸来源URL": "https://www.bmglabtech.com/en/clariostar-plus/"}</t>
        </is>
      </c>
      <c r="Z54"/>
    </row>
    <row r="55" ht="25.5" customHeight="1">
      <c r="A55" t="inlineStr">
        <is>
          <t>PerkinElmer/Revvity LabChip GXII Touch HT Protein Characterization System</t>
        </is>
      </c>
      <c r="B55" t="inlineStr">
        <is>
          <t>HW-4 发酵过程在线监测与蛋白稳定性表征</t>
        </is>
      </c>
      <c r="C55" t="inlineStr">
        <is>
          <t>LabChip/微流控 CE-SDS 蛋白表征</t>
        </is>
      </c>
      <c r="D55" t="inlineStr">
        <is>
          <t>PerkinElmer/Revvity LabChip GXII Touch HT Protein Characterization System</t>
        </is>
      </c>
      <c r="E55" t="inlineStr">
        <is>
          <t>准备中</t>
        </is>
      </c>
      <c r="F55" t="inlineStr">
        <is>
          <t>列表, 参考</t>
        </is>
      </c>
      <c r="G55" t="inlineStr">
        <is>
          <t>未发现STL/Xacro/CAD/STEP</t>
        </is>
      </c>
      <c r="H55" t="inlineStr">
        <is>
          <t>进口</t>
        </is>
      </c>
      <c r="I55" t="inlineStr">
        <is>
          <t>候选</t>
        </is>
      </c>
      <c r="J55" t="inlineStr">
        <is>
          <t>待询价</t>
        </is>
      </c>
      <c r="K55" t="inlineStr">
        <is>
          <t>待询价</t>
        </is>
      </c>
      <c r="L55" t="inlineStr">
        <is>
          <t>待确认</t>
        </is>
      </c>
      <c r="M55" t="inlineStr">
        <is>
          <t>直接匹配CE-SDS/LabChip：蛋白sizing、纯度、charge variant、glycan等。96/384孔；最高384 samples/run；约40–42 s/sample。</t>
        </is>
      </c>
      <c r="N55" t="inlineStr">
        <is>
          <t>标准候选</t>
        </is>
      </c>
      <c r="O55" t="inlineStr">
        <is>
          <t>HW-4 发酵过程在线监测与蛋白稳定性表征</t>
        </is>
      </c>
      <c r="P55" t="inlineStr">
        <is>
          <t>在线调研补充</t>
        </is>
      </c>
      <c r="Q55" t="inlineStr">
        <is>
          <t>online-20260709</t>
        </is>
      </c>
      <c r="R55" t="inlineStr">
        <is>
          <t>标准/进口</t>
        </is>
      </c>
      <c r="S55" t="inlineStr">
        <is>
          <t>低</t>
        </is>
      </c>
      <c r="T55" t="inlineStr">
        <is>
          <t>公开检索未发现几何模型；部分仅有数据解析/协议类GitHub或PDF资料。</t>
        </is>
      </c>
      <c r="U55" s="2"/>
      <c r="V55" s="2" t="str">
        <f>=HYPERLINK("https://www.revvity.com/product/ship-level-labchip-gx-ii-touch-ht-cls138160
https://github.com/choderalab/wetlab-protocols/blob/master/Caliper-LabChip-GXII/Caliper-LabChip-protein-protocol.md", "https://www.revvity.com/product/ship-level-labchip-gx-ii-touch-ht-cls138160,https://github.com/choderalab/wetlab-protocols/blob/master/Caliper-LabChip-GXII/Caliper-LabChip-protein-protocol.md")</f>
        <v>https://www.revvity.com/product/ship-level-labchip-gx-ii-touch-ht-cls138160,https://github.com/choderalab/wetlab-protocols/blob/master/Caliper-LabChip-GXII/Caliper-LabChip-protein-protocol.md</v>
      </c>
      <c r="W55" t="inlineStr">
        <is>
          <t>未找到公开官方STL/Xacro/CAD/URDF/STEP；如需仿真建议索取厂家STEP/外形CAD或用尺寸建立占位模型。</t>
        </is>
      </c>
      <c r="X55" t="inlineStr">
        <is>
          <t>毛细管电泳SDS蛋白分析系统</t>
        </is>
      </c>
      <c r="Y55" t="inlineStr">
        <is>
          <t>{"宽mm": 510, "深mm": 490, "高mm": 690, "重量kg": 25.5, "占地/安装备注": "台式；官方手册要求仪器周围至少77 mm通风空间。", "尺寸来源URL": "https://resources.revvity.com/pdfs/man-labchip-gx-touch-4.pdf"}</t>
        </is>
      </c>
      <c r="Z55"/>
    </row>
    <row r="56" ht="25.5" customHeight="1">
      <c r="A56" t="inlineStr">
        <is>
          <t>Bio-Techne ProteinSimple Maurice / MauriceFlex</t>
        </is>
      </c>
      <c r="B56" t="inlineStr">
        <is>
          <t>HW-4 发酵过程在线监测与蛋白稳定性表征</t>
        </is>
      </c>
      <c r="C56" t="inlineStr">
        <is>
          <t>CE-SDS/icIEF 蛋白质量分析备选</t>
        </is>
      </c>
      <c r="D56" t="inlineStr">
        <is>
          <t>Bio-Techne ProteinSimple Maurice / MauriceFlex</t>
        </is>
      </c>
      <c r="E56"/>
      <c r="F56" t="inlineStr">
        <is>
          <t>AI</t>
        </is>
      </c>
      <c r="G56" t="inlineStr">
        <is>
          <t>未发现STL/Xacro/CAD/STEP</t>
        </is>
      </c>
      <c r="H56" t="inlineStr">
        <is>
          <t>进口</t>
        </is>
      </c>
      <c r="I56" t="inlineStr">
        <is>
          <t>候选</t>
        </is>
      </c>
      <c r="J56" t="inlineStr">
        <is>
          <t>待询价</t>
        </is>
      </c>
      <c r="K56" t="inlineStr">
        <is>
          <t>待询价</t>
        </is>
      </c>
      <c r="L56" t="inlineStr">
        <is>
          <t>待确认</t>
        </is>
      </c>
      <c r="M56" t="inlineStr">
        <is>
          <t>覆盖CE-SDS分子量/纯度和icIEF电荷异质性，是LabChip之外强备选。10–270 kDa；pI 2.85–10.45；96孔板或48 vial。</t>
        </is>
      </c>
      <c r="N56" t="inlineStr">
        <is>
          <t>标准候选</t>
        </is>
      </c>
      <c r="O56" t="inlineStr">
        <is>
          <t>HW-4 发酵过程在线监测与蛋白稳定性表征</t>
        </is>
      </c>
      <c r="P56" t="inlineStr">
        <is>
          <t>在线调研补充</t>
        </is>
      </c>
      <c r="Q56" t="inlineStr">
        <is>
          <t>online-20260709</t>
        </is>
      </c>
      <c r="R56" t="inlineStr">
        <is>
          <t>标准/进口</t>
        </is>
      </c>
      <c r="S56" t="inlineStr">
        <is>
          <t>低</t>
        </is>
      </c>
      <c r="T56" t="inlineStr">
        <is>
          <t>公开检索未发现几何模型；部分仅有数据解析/协议类GitHub或PDF资料。</t>
        </is>
      </c>
      <c r="U56" s="2"/>
      <c r="V56" s="2" t="str">
        <f>=HYPERLINK("https://www.bio-techne.com/p/imaged-capillary-electrophoresis-ice/maurice_090-000
https://www.bio-techne.com/p/imaged-capillary-electrophoresis-ice/mauriceflex_090-158", "https://www.bio-techne.com/p/imaged-capillary-electrophoresis-ice/maurice_090-000,https://www.bio-techne.com/p/imaged-capillary-electrophoresis-ice/mauriceflex_090-158")</f>
        <v>https://www.bio-techne.com/p/imaged-capillary-electrophoresis-ice/maurice_090-000,https://www.bio-techne.com/p/imaged-capillary-electrophoresis-ice/mauriceflex_090-158</v>
      </c>
      <c r="W56" t="inlineStr">
        <is>
          <t>未找到公开官方STL/Xacro/CAD/URDF/STEP；如需仿真建议索取厂家STEP/外形CAD或用尺寸建立占位模型。</t>
        </is>
      </c>
      <c r="X56" t="inlineStr">
        <is>
          <t>毛细管电泳SDS蛋白分析系统</t>
        </is>
      </c>
      <c r="Y56" t="inlineStr">
        <is>
          <t>{"宽mm": 420, "深mm": 610, "高mm": 440, "重量kg": 46, "占地/安装备注": "台式；门打开时宽度约570 mm；建议工作区约1.5 m W × 0.8 m D × 0.5 m H。", "尺寸来源URL": "https://resources.bio-techne.com/bio-techne-assets/docs/literature/046-295-revb-maurice-user-guide.pdf"}</t>
        </is>
      </c>
      <c r="Z56"/>
    </row>
    <row r="57" ht="25.5" customHeight="1">
      <c r="A57" t="inlineStr">
        <is>
          <t>Waters Xevo TQ Absolute XR + Waters ACQUITY UPLC I-Class PLUS</t>
        </is>
      </c>
      <c r="B57" t="inlineStr">
        <is>
          <t>HW-5 高灵敏液质联用定量分析</t>
        </is>
      </c>
      <c r="C57" t="inlineStr">
        <is>
          <t>LC-MS/MS 三重四极杆旗舰 + UPLC</t>
        </is>
      </c>
      <c r="D57" t="inlineStr">
        <is>
          <t>Waters Xevo TQ Absolute XR + Waters ACQUITY UPLC I-Class PLUS</t>
        </is>
      </c>
      <c r="E57"/>
      <c r="F57" t="inlineStr">
        <is>
          <t>列表, 参考</t>
        </is>
      </c>
      <c r="G57" t="inlineStr">
        <is>
          <t>未发现官方STL/Xacro/CAD/STEP</t>
        </is>
      </c>
      <c r="H57" t="inlineStr">
        <is>
          <t>进口</t>
        </is>
      </c>
      <c r="I57" t="inlineStr">
        <is>
          <t>候选</t>
        </is>
      </c>
      <c r="J57" t="inlineStr">
        <is>
          <t>待询价</t>
        </is>
      </c>
      <c r="K57" t="inlineStr">
        <is>
          <t>待询价</t>
        </is>
      </c>
      <c r="L57" t="inlineStr">
        <is>
          <t>待确认</t>
        </is>
      </c>
      <c r="M57" t="inlineStr">
        <is>
          <t>优先候选；Xevo TQ Absolute XR为2025-06发布的Waters高灵敏紧凑型三重四极杆，I-Class PLUS适合作高灵敏LC-MS前端。StepWave XR；XDR检测器；ESI/APCI/ESCi/UniSpray；I-Class PLUS最高18,000 psi。</t>
        </is>
      </c>
      <c r="N57" t="inlineStr">
        <is>
          <t>标准候选</t>
        </is>
      </c>
      <c r="O57" t="inlineStr">
        <is>
          <t>HW-5 高灵敏液质联用定量分析</t>
        </is>
      </c>
      <c r="P57" t="inlineStr">
        <is>
          <t>在线调研补充</t>
        </is>
      </c>
      <c r="Q57" t="inlineStr">
        <is>
          <t>online-20260709</t>
        </is>
      </c>
      <c r="R57" t="inlineStr">
        <is>
          <t>标准/进口</t>
        </is>
      </c>
      <c r="S57" t="inlineStr">
        <is>
          <t>低</t>
        </is>
      </c>
      <c r="T57" t="inlineStr">
        <is>
          <t>研究员检索官方/公开模型源；未发现官方几何模型，少数有第三方/非官方3D参考。</t>
        </is>
      </c>
      <c r="U57" s="2"/>
      <c r="V57" s="2" t="str">
        <f>=HYPERLINK("https://ir.waters.com/News--Events/newsroom/news-details/2025/Waters-Sets-a-New-Benchmark-for-Robustness-and-Sensitivity-for-High-Throughput-Labs-with-the-Xevo-TQ-Absolute-XR-Mass-Spectrometer/default.aspx", "https://ir.waters.com/News--Events/newsroom/news-details/2025/Waters-Sets-a-New-Benchmark-for-Robustness-and-Sensitivity-for-High-Throughput-Labs-with-the-Xevo-TQ-Absolute-XR-Mass-Spectrometer/default.aspx")</f>
        <v>https://ir.waters.com/News--Events/newsroom/news-details/2025/Waters-Sets-a-New-Benchmark-for-Robustness-and-Sensitivity-for-High-Throughput-Labs-with-the-Xevo-TQ-Absolute-XR-Mass-Spectrometer/default.aspx</v>
      </c>
      <c r="W57" t="inlineStr">
        <is>
          <t>未找到公开官方STL/Xacro/CAD/URDF/STEP；如需仿真建议索取厂家STEP/外形CAD或用尺寸建立占位模型。</t>
        </is>
      </c>
      <c r="X57" t="inlineStr">
        <is>
          <t>LC-MS/MS 三重四极杆液质联用系统</t>
        </is>
      </c>
      <c r="Y57" t="inlineStr">
        <is>
          <t>{"宽mm": "Xevo XR未找到；ACQUITY I-Class PLUS 2D配置838", "深mm": "Xevo XR未找到；ACQUITY I-Class PLUS 2D配置864", "高mm": "Xevo XR未找到；ACQUITY I-Class PLUS 2D配置1034", "重量kg": "未找到完整系统官方值", "占地/安装备注": "Waters确认XR紧凑、最多少占约50% bench space；未公开精确Xevo XR外形尺寸。", "尺寸来源URL": "https://ir.waters.com/News--Events/newsroom/news-details/2025/Waters-Sets-a-New-Benchmark-for-Robustness-and-Sensitivity-for-High-Throughput-Labs-with-the-Xevo-TQ-Absolute-XR-Mass-Spectrometer/default.aspx"}</t>
        </is>
      </c>
      <c r="Z57"/>
    </row>
    <row r="58" ht="25.5" customHeight="1">
      <c r="A58" t="inlineStr">
        <is>
          <t>Waters ACQUITY UPLC I-Class PLUS / I-Class PLUS 2D LC</t>
        </is>
      </c>
      <c r="B58" t="inlineStr">
        <is>
          <t>HW-6 蛋白色谱纯化与配套备件保障</t>
        </is>
      </c>
      <c r="C58" t="inlineStr">
        <is>
          <t>UPLC/UHPLC 前端</t>
        </is>
      </c>
      <c r="D58" t="inlineStr">
        <is>
          <t>Waters ACQUITY UPLC I-Class PLUS / I-Class PLUS 2D LC</t>
        </is>
      </c>
      <c r="E58" t="inlineStr">
        <is>
          <t>准备中</t>
        </is>
      </c>
      <c r="F58" t="inlineStr">
        <is>
          <t>列表, 参考</t>
        </is>
      </c>
      <c r="G58" t="inlineStr">
        <is>
          <t>未发现官方STL/Xacro/CAD/STEP</t>
        </is>
      </c>
      <c r="H58" t="inlineStr">
        <is>
          <t>进口</t>
        </is>
      </c>
      <c r="I58" t="inlineStr">
        <is>
          <t>候选</t>
        </is>
      </c>
      <c r="J58" t="inlineStr">
        <is>
          <t>待询价</t>
        </is>
      </c>
      <c r="K58" t="inlineStr">
        <is>
          <t>待询价</t>
        </is>
      </c>
      <c r="L58" t="inlineStr">
        <is>
          <t>待确认</t>
        </is>
      </c>
      <c r="M58" t="inlineStr">
        <is>
          <t>低扩散、低延迟体积UPLC，适合三重四极杆前端与蛋白聚集体SEC-UPLC分析。最高18,000 psi；典型流速0.010–2.000 mL/min；2D配置可提高选择性。</t>
        </is>
      </c>
      <c r="N58" t="inlineStr">
        <is>
          <t>标准候选</t>
        </is>
      </c>
      <c r="O58" t="inlineStr">
        <is>
          <t>HW-6 蛋白色谱纯化与配套备件保障</t>
        </is>
      </c>
      <c r="P58" t="inlineStr">
        <is>
          <t>在线调研补充</t>
        </is>
      </c>
      <c r="Q58" t="inlineStr">
        <is>
          <t>online-20260709</t>
        </is>
      </c>
      <c r="R58" t="inlineStr">
        <is>
          <t>标准/进口</t>
        </is>
      </c>
      <c r="S58" t="inlineStr">
        <is>
          <t>低</t>
        </is>
      </c>
      <c r="T58" t="inlineStr">
        <is>
          <t>研究员检索官方/公开模型源；未发现官方几何模型，少数有第三方/非官方3D参考。</t>
        </is>
      </c>
      <c r="U58" s="2"/>
      <c r="V58" s="2" t="str">
        <f>=HYPERLINK("https://uvison.com/download/Waters/Waers_ACQUITY_UPLC_I-Clas_PLUS_System_with_2D_Technology_Instrument_Specifications.pdf", "https://uvison.com/download/Waters/Waers_ACQUITY_UPLC_I-Clas_PLUS_System_with_2D_Technology_Instrument_Specifications.pdf")</f>
        <v>https://uvison.com/download/Waters/Waers_ACQUITY_UPLC_I-Clas_PLUS_System_with_2D_Technology_Instrument_Specifications.pdf</v>
      </c>
      <c r="W58" t="inlineStr">
        <is>
          <t>未找到公开官方STL/Xacro/CAD/URDF/STEP；如需仿真建议索取厂家STEP/外形CAD或用尺寸建立占位模型。</t>
        </is>
      </c>
      <c r="X58" t="inlineStr">
        <is>
          <t>超高效液相色谱系统（UPLC）</t>
        </is>
      </c>
      <c r="Y58" t="inlineStr">
        <is>
          <t>{"宽mm": 838, "深mm": 864, "高mm": 1034, "重量kg": "未找到官方完整系统值", "占地/安装备注": "尺寸为I-Class PLUS 2D配置；普通单泵配置会更低/更轻。", "尺寸来源URL": "https://uvison.com/download/Waters/Waers_ACQUITY_UPLC_I-Clas_PLUS_System_with_2D_Technology_Instrument_Specifications.pdf"}</t>
        </is>
      </c>
      <c r="Z58"/>
    </row>
    <row r="59" ht="25.5" customHeight="1">
      <c r="A59" t="inlineStr">
        <is>
          <t>Thermo Scientific TSQ Altis Plus EFOX Edition + Vanquish Horizon/Flex UHPLC</t>
        </is>
      </c>
      <c r="B59" t="inlineStr">
        <is>
          <t>HW-5 高灵敏液质联用定量分析</t>
        </is>
      </c>
      <c r="C59" t="inlineStr">
        <is>
          <t>LC-MS/MS 三重四极杆 + UHPLC</t>
        </is>
      </c>
      <c r="D59" t="inlineStr">
        <is>
          <t>Thermo Scientific TSQ Altis Plus EFOX Edition + Vanquish Horizon/Flex UHPLC</t>
        </is>
      </c>
      <c r="E59" t="inlineStr">
        <is>
          <t>图片生成stl</t>
        </is>
      </c>
      <c r="F59" t="inlineStr">
        <is>
          <t>列表, 参考</t>
        </is>
      </c>
      <c r="G59" t="inlineStr">
        <is>
          <t>非官方/交互3D可用, 未发现官方STEP/URDF</t>
        </is>
      </c>
      <c r="H59" t="inlineStr">
        <is>
          <t>进口</t>
        </is>
      </c>
      <c r="I59" t="inlineStr">
        <is>
          <t>候选</t>
        </is>
      </c>
      <c r="J59" t="inlineStr">
        <is>
          <t>待询价</t>
        </is>
      </c>
      <c r="K59" t="inlineStr">
        <is>
          <t>待询价</t>
        </is>
      </c>
      <c r="L59" t="inlineStr">
        <is>
          <t>待确认</t>
        </is>
      </c>
      <c r="M59" t="inlineStr">
        <is>
          <t>高灵敏三重四极杆与Vanquish UHPLC前端组合，适合复杂基质痕量定量。TSQ Altis Plus m/z 2–2010；Vanquish Horizon标准系统最高约110 kg。</t>
        </is>
      </c>
      <c r="N59" t="inlineStr">
        <is>
          <t>标准候选</t>
        </is>
      </c>
      <c r="O59" t="inlineStr">
        <is>
          <t>HW-5 高灵敏液质联用定量分析</t>
        </is>
      </c>
      <c r="P59" t="inlineStr">
        <is>
          <t>在线调研补充</t>
        </is>
      </c>
      <c r="Q59" t="inlineStr">
        <is>
          <t>online-20260709</t>
        </is>
      </c>
      <c r="R59" t="inlineStr">
        <is>
          <t>标准/进口</t>
        </is>
      </c>
      <c r="S59" t="inlineStr">
        <is>
          <t>中</t>
        </is>
      </c>
      <c r="T59" t="inlineStr">
        <is>
          <t>第三方Printables模型命中：页面标题为 Scale Model of Thermo Fisher Vanquish LC，文件区列出 Vanquish_Print_v2.3mf；适合作为Vanquish LC外观/占位模型。</t>
        </is>
      </c>
      <c r="U59" s="2" t="str">
        <f>=HYPERLINK("https://www.printables.com/model/1172858-scale-model-of-thermo-fisher-vanquish-lc/files", "https://www.printables.com/model/1172858-scale-model-of-thermo-fisher-vanquish-lc/files")</f>
        <v>https://www.printables.com/model/1172858-scale-model-of-thermo-fisher-vanquish-lc/files</v>
      </c>
      <c r="V59" s="2" t="str">
        <f>=HYPERLINK("https://www.thermofisher.com/order/catalog/product/B51006700", "https://www.thermofisher.com/order/catalog/product/B51006700")</f>
        <v>https://www.thermofisher.com/order/catalog/product/B51006700</v>
      </c>
      <c r="W59" t="inlineStr">
        <is>
          <t>Printables非官方3MF模型可作为Vanquish LC外观占位；TSQ Altis Plus本体仍未发现第三方/官方几何模型，整套系统需分体建模。</t>
        </is>
      </c>
      <c r="X59" t="inlineStr">
        <is>
          <t>LC-MS/MS 三重四极杆液质联用系统</t>
        </is>
      </c>
      <c r="Y59" t="inlineStr">
        <is>
          <t>{"宽mm": "TSQ Altis Plus 760；Vanquish标准系统550", "深mm": "TSQ Altis Plus 840；Vanquish标准系统620", "高mm": "TSQ Altis Plus 680；Vanquish标准系统820", "重量kg": "TSQ Altis Plus 125；Vanquish Core/Flex/Horizon约80/90/110", "占地/安装备注": "MS与UHPLC分体安装；需另配泵、气源、废液和数据系统空间。", "尺寸来源URL": "https://www.thermofisher.com/order/catalog/product/B51006700"}</t>
        </is>
      </c>
      <c r="Z59"/>
    </row>
    <row r="60" ht="25.5" customHeight="1">
      <c r="A60" t="inlineStr">
        <is>
          <t>SCIEX Triple Quad 7500+ System</t>
        </is>
      </c>
      <c r="B60" t="inlineStr">
        <is>
          <t>HW-5 高灵敏液质联用定量分析</t>
        </is>
      </c>
      <c r="C60" t="inlineStr">
        <is>
          <t>LC-MS/MS 三重四极杆旗舰备选</t>
        </is>
      </c>
      <c r="D60" t="inlineStr">
        <is>
          <t>SCIEX Triple Quad 7500+ System</t>
        </is>
      </c>
      <c r="E60"/>
      <c r="F60" t="inlineStr">
        <is>
          <t>AI</t>
        </is>
      </c>
      <c r="G60" t="inlineStr">
        <is>
          <t>未发现官方STL/Xacro/CAD/STEP</t>
        </is>
      </c>
      <c r="H60" t="inlineStr">
        <is>
          <t>进口</t>
        </is>
      </c>
      <c r="I60" t="inlineStr">
        <is>
          <t>候选</t>
        </is>
      </c>
      <c r="J60" t="inlineStr">
        <is>
          <t>待询价</t>
        </is>
      </c>
      <c r="K60" t="inlineStr">
        <is>
          <t>待询价</t>
        </is>
      </c>
      <c r="L60" t="inlineStr">
        <is>
          <t>待确认</t>
        </is>
      </c>
      <c r="M60" t="inlineStr">
        <is>
          <t>SCIEX高灵敏定量平台，适合复杂基质和大批量targeted quantitation。Mass Guard；复杂基质中保持高灵敏运行。</t>
        </is>
      </c>
      <c r="N60" t="inlineStr">
        <is>
          <t>标准候选</t>
        </is>
      </c>
      <c r="O60" t="inlineStr">
        <is>
          <t>HW-5 高灵敏液质联用定量分析</t>
        </is>
      </c>
      <c r="P60" t="inlineStr">
        <is>
          <t>在线调研补充</t>
        </is>
      </c>
      <c r="Q60" t="inlineStr">
        <is>
          <t>online-20260709</t>
        </is>
      </c>
      <c r="R60" t="inlineStr">
        <is>
          <t>标准/进口</t>
        </is>
      </c>
      <c r="S60" t="inlineStr">
        <is>
          <t>低</t>
        </is>
      </c>
      <c r="T60" t="inlineStr">
        <is>
          <t>研究员检索官方/公开模型源；未发现官方几何模型，少数有第三方/非官方3D参考。</t>
        </is>
      </c>
      <c r="U60" s="2"/>
      <c r="V60" s="2" t="str">
        <f>=HYPERLINK("https://sciex.com/content/dam/SCIEX/pdf/brochures/7500-plus-system-brochure.pdf", "https://sciex.com/content/dam/SCIEX/pdf/brochures/7500-plus-system-brochure.pdf")</f>
        <v>https://sciex.com/content/dam/SCIEX/pdf/brochures/7500-plus-system-brochure.pdf</v>
      </c>
      <c r="W60" t="inlineStr">
        <is>
          <t>未找到公开官方STL/Xacro/CAD/URDF/STEP；如需仿真建议索取厂家STEP/外形CAD或用尺寸建立占位模型。</t>
        </is>
      </c>
      <c r="X60" t="inlineStr">
        <is>
          <t>LC-MS/MS 三重四极杆液质联用系统</t>
        </is>
      </c>
      <c r="Y60" t="inlineStr">
        <is>
          <t>{"宽mm": "未找到", "深mm": "未找到", "高mm": "未找到", "重量kg": "未找到", "占地/安装备注": "官方brochure/user guide已检索；未发现公开精确仪器尺寸。ionBench 7500专用工作台仅作参考。", "尺寸来源URL": "https://sciex.com/content/dam/SCIEX/pdf/brochures/7500-plus-system-brochure.pdf"}</t>
        </is>
      </c>
      <c r="Z60"/>
    </row>
    <row r="61" ht="25.5" customHeight="1">
      <c r="A61" t="inlineStr">
        <is>
          <t>Agilent 6495D Triple Quadrupole LC/MS + 1290 Infinity III LC</t>
        </is>
      </c>
      <c r="B61" t="inlineStr">
        <is>
          <t>HW-5 高灵敏液质联用定量分析</t>
        </is>
      </c>
      <c r="C61" t="inlineStr">
        <is>
          <t>LC-MS/MS 三重四极杆高端备选</t>
        </is>
      </c>
      <c r="D61" t="inlineStr">
        <is>
          <t>Agilent 6495D Triple Quadrupole LC/MS + 1290 Infinity III LC</t>
        </is>
      </c>
      <c r="E61"/>
      <c r="F61" t="inlineStr">
        <is>
          <t>AI</t>
        </is>
      </c>
      <c r="G61" t="inlineStr">
        <is>
          <t>未发现官方STL/Xacro/CAD/STEP</t>
        </is>
      </c>
      <c r="H61" t="inlineStr">
        <is>
          <t>进口</t>
        </is>
      </c>
      <c r="I61" t="inlineStr">
        <is>
          <t>候选</t>
        </is>
      </c>
      <c r="J61" t="inlineStr">
        <is>
          <t>待询价</t>
        </is>
      </c>
      <c r="K61" t="inlineStr">
        <is>
          <t>待询价</t>
        </is>
      </c>
      <c r="L61" t="inlineStr">
        <is>
          <t>待确认</t>
        </is>
      </c>
      <c r="M61" t="inlineStr">
        <is>
          <t>iFunnel平台，适合ppq级低丰度定量和大批量样本。6495D；iFunnel；sub-ms dwell；SWARM autotune。</t>
        </is>
      </c>
      <c r="N61" t="inlineStr">
        <is>
          <t>标准候选</t>
        </is>
      </c>
      <c r="O61" t="inlineStr">
        <is>
          <t>HW-5 高灵敏液质联用定量分析</t>
        </is>
      </c>
      <c r="P61" t="inlineStr">
        <is>
          <t>在线调研补充</t>
        </is>
      </c>
      <c r="Q61" t="inlineStr">
        <is>
          <t>online-20260709</t>
        </is>
      </c>
      <c r="R61" t="inlineStr">
        <is>
          <t>标准/进口</t>
        </is>
      </c>
      <c r="S61" t="inlineStr">
        <is>
          <t>低</t>
        </is>
      </c>
      <c r="T61" t="inlineStr">
        <is>
          <t>研究员检索官方/公开模型源；未发现官方几何模型，少数有第三方/非官方3D参考。</t>
        </is>
      </c>
      <c r="U61" s="2"/>
      <c r="V61" s="2" t="str">
        <f>=HYPERLINK("https://www.agilent.com/en/product/liquid-chromatography-mass-spectrometry-lc-ms/lc-ms-instruments/triple-quadrupole-lc-ms/6495-triple-quadrupole-lc-ms", "https://www.agilent.com/en/product/liquid-chromatography-mass-spectrometry-lc-ms/lc-ms-instruments/triple-quadrupole-lc-ms/6495-triple-quadrupole-lc-ms")</f>
        <v>https://www.agilent.com/en/product/liquid-chromatography-mass-spectrometry-lc-ms/lc-ms-instruments/triple-quadrupole-lc-ms/6495-triple-quadrupole-lc-ms</v>
      </c>
      <c r="W61" t="inlineStr">
        <is>
          <t>未找到公开官方STL/Xacro/CAD/URDF/STEP；如需仿真建议索取厂家STEP/外形CAD或用尺寸建立占位模型。</t>
        </is>
      </c>
      <c r="X61" t="inlineStr">
        <is>
          <t>LC-MS/MS 三重四极杆液质联用系统</t>
        </is>
      </c>
      <c r="Y61" t="inlineStr">
        <is>
          <t>{"宽mm": "未找到", "深mm": "未找到", "高mm": "未找到", "重量kg": "未找到", "占地/安装备注": "官方产品页和site-prep checklist已检索，公开抓取内容未给设备本体尺寸；ionBench 6495C工作台仅作参考。", "尺寸来源URL": "https://www.agilent.com/en/product/liquid-chromatography-mass-spectrometry-lc-ms/lc-ms-instruments/triple-quadrupole-lc-ms/6495-triple-quadrupole-lc-ms"}</t>
        </is>
      </c>
      <c r="Z61"/>
    </row>
    <row r="62" ht="25.5" customHeight="1">
      <c r="A62" t="inlineStr">
        <is>
          <t>Shimadzu LCMS-8060NX</t>
        </is>
      </c>
      <c r="B62" t="inlineStr">
        <is>
          <t>HW-5 高灵敏液质联用定量分析</t>
        </is>
      </c>
      <c r="C62" t="inlineStr">
        <is>
          <t>LC-MS/MS 三重四极杆高灵敏备选</t>
        </is>
      </c>
      <c r="D62" t="inlineStr">
        <is>
          <t>Shimadzu LCMS-8060NX</t>
        </is>
      </c>
      <c r="E62"/>
      <c r="F62" t="inlineStr">
        <is>
          <t>AI</t>
        </is>
      </c>
      <c r="G62" t="inlineStr">
        <is>
          <t>未发现官方STL/Xacro/CAD/STEP</t>
        </is>
      </c>
      <c r="H62" t="inlineStr">
        <is>
          <t>进口</t>
        </is>
      </c>
      <c r="I62" t="inlineStr">
        <is>
          <t>候选</t>
        </is>
      </c>
      <c r="J62" t="inlineStr">
        <is>
          <t>待询价</t>
        </is>
      </c>
      <c r="K62" t="inlineStr">
        <is>
          <t>待询价</t>
        </is>
      </c>
      <c r="L62" t="inlineStr">
        <is>
          <t>待确认</t>
        </is>
      </c>
      <c r="M62" t="inlineStr">
        <is>
          <t>三重四极杆；高扫描速度、快速极性切换和高灵敏度。m/z 2–2000；scan speed 30,000 u/s；polarity switching 5 ms；MRM 555 channels/s。</t>
        </is>
      </c>
      <c r="N62" t="inlineStr">
        <is>
          <t>标准候选</t>
        </is>
      </c>
      <c r="O62" t="inlineStr">
        <is>
          <t>HW-5 高灵敏液质联用定量分析</t>
        </is>
      </c>
      <c r="P62" t="inlineStr">
        <is>
          <t>在线调研补充</t>
        </is>
      </c>
      <c r="Q62" t="inlineStr">
        <is>
          <t>online-20260709</t>
        </is>
      </c>
      <c r="R62" t="inlineStr">
        <is>
          <t>标准/进口</t>
        </is>
      </c>
      <c r="S62" t="inlineStr">
        <is>
          <t>低</t>
        </is>
      </c>
      <c r="T62" t="inlineStr">
        <is>
          <t>研究员检索官方/公开模型源；未发现官方几何模型，少数有第三方/非官方3D参考。</t>
        </is>
      </c>
      <c r="U62" s="2"/>
      <c r="V62" s="2" t="str">
        <f>=HYPERLINK("https://www.masontechnology.ie/wp-content/uploads/2022/05/C146-E411-LCMS-8060NX-specification.pdf", "https://www.masontechnology.ie/wp-content/uploads/2022/05/C146-E411-LCMS-8060NX-specification.pdf")</f>
        <v>https://www.masontechnology.ie/wp-content/uploads/2022/05/C146-E411-LCMS-8060NX-specification.pdf</v>
      </c>
      <c r="W62" t="inlineStr">
        <is>
          <t>未找到公开官方STL/Xacro/CAD/URDF/STEP；如需仿真建议索取厂家STEP/外形CAD或用尺寸建立占位模型。</t>
        </is>
      </c>
      <c r="X62" t="inlineStr">
        <is>
          <t>LC-MS/MS 三重四极杆液质联用系统</t>
        </is>
      </c>
      <c r="Y62" t="inlineStr">
        <is>
          <t>{"宽mm": 1180, "深mm": 540, "高mm": 610, "重量kg": 140, "占地/安装备注": "规格表为MS unit安装示例；需另计LC、旋片泵、气体与维护空间。", "尺寸来源URL": "https://www.masontechnology.ie/wp-content/uploads/2022/05/C146-E411-LCMS-8060NX-specification.pdf"}</t>
        </is>
      </c>
      <c r="Z62"/>
    </row>
    <row r="63" ht="25.5" customHeight="1">
      <c r="A63" t="inlineStr">
        <is>
          <t>谱育科技 EXPEC 5210 L/C 系列</t>
        </is>
      </c>
      <c r="B63" t="inlineStr">
        <is>
          <t>HW-5 高灵敏液质联用定量分析</t>
        </is>
      </c>
      <c r="C63" t="inlineStr">
        <is>
          <t>国产 LC-MS/MS 备选</t>
        </is>
      </c>
      <c r="D63" t="inlineStr">
        <is>
          <t>谱育科技 EXPEC 5210 L/C 系列</t>
        </is>
      </c>
      <c r="E63"/>
      <c r="F63" t="inlineStr">
        <is>
          <t>AI</t>
        </is>
      </c>
      <c r="G63" t="inlineStr">
        <is>
          <t>未发现官方STL/Xacro/CAD/STEP</t>
        </is>
      </c>
      <c r="H63" t="inlineStr">
        <is>
          <t>国产</t>
        </is>
      </c>
      <c r="I63" t="inlineStr">
        <is>
          <t>候选</t>
        </is>
      </c>
      <c r="J63" t="inlineStr">
        <is>
          <t>待询价</t>
        </is>
      </c>
      <c r="K63" t="inlineStr">
        <is>
          <t>待询价</t>
        </is>
      </c>
      <c r="L63" t="inlineStr">
        <is>
          <t>待确认</t>
        </is>
      </c>
      <c r="M63" t="inlineStr">
        <is>
          <t>国产三重四极杆LC-MS/MS；适合食品、医学、生物医药、环境检测等定量场景。质量范围5–2000 Da；Step Scan；轴向加速碰撞池。</t>
        </is>
      </c>
      <c r="N63" t="inlineStr">
        <is>
          <t>国产候选</t>
        </is>
      </c>
      <c r="O63" t="inlineStr">
        <is>
          <t>HW-5 高灵敏液质联用定量分析</t>
        </is>
      </c>
      <c r="P63" t="inlineStr">
        <is>
          <t>在线调研补充</t>
        </is>
      </c>
      <c r="Q63" t="inlineStr">
        <is>
          <t>online-20260709</t>
        </is>
      </c>
      <c r="R63" t="inlineStr">
        <is>
          <t>国产</t>
        </is>
      </c>
      <c r="S63" t="inlineStr">
        <is>
          <t>低</t>
        </is>
      </c>
      <c r="T63" t="inlineStr">
        <is>
          <t>研究员检索官方/公开模型源；未发现官方几何模型，少数有第三方/非官方3D参考。</t>
        </is>
      </c>
      <c r="U63" s="2"/>
      <c r="V63" s="2" t="str">
        <f>=HYPERLINK("https://www.expec-tech.com/products/15.html?cid=%2C15%2C16%2C17%2C&amp;tid=34", "https://www.expec-tech.com/products/15.html?cid=%2C15%2C16%2C17%2C&amp;tid=34")</f>
        <v>https://www.expec-tech.com/products/15.html?cid=%2C15%2C16%2C17%2C&amp;tid=34</v>
      </c>
      <c r="W63" t="inlineStr">
        <is>
          <t>未找到公开官方STL/Xacro/CAD/URDF/STEP；如需仿真建议索取厂家STEP/外形CAD或用尺寸建立占位模型。</t>
        </is>
      </c>
      <c r="X63" t="inlineStr">
        <is>
          <t>LC-MS/MS 三重四极杆液质联用系统</t>
        </is>
      </c>
      <c r="Y63" t="inlineStr">
        <is>
          <t>{"宽mm": "未找到", "深mm": "未找到", "高mm": "未找到", "重量kg": "未找到", "占地/安装备注": "谱育官方中英文产品页和仪器信息网条目已检索，公开内容未见设备外形尺寸。", "尺寸来源URL": "https://www.expec-tech.com/products/15.html?cid=%2C15%2C16%2C17%2C&amp;tid=34"}</t>
        </is>
      </c>
      <c r="Z63"/>
    </row>
    <row r="64" ht="25.5" customHeight="1">
      <c r="A64" t="inlineStr">
        <is>
          <t>PerkinElmer QSight 420 LC/MS/MS + LC 300 HPLC/UHPLC</t>
        </is>
      </c>
      <c r="B64" t="inlineStr">
        <is>
          <t>HW-5 高灵敏液质联用定量分析</t>
        </is>
      </c>
      <c r="C64" t="inlineStr">
        <is>
          <t>供应商参考：LC-MS/MS + UHPLC</t>
        </is>
      </c>
      <c r="D64" t="inlineStr">
        <is>
          <t>PerkinElmer QSight 420 LC/MS/MS + LC 300 HPLC/UHPLC</t>
        </is>
      </c>
      <c r="E64"/>
      <c r="F64" t="inlineStr">
        <is>
          <t>列表, 参考</t>
        </is>
      </c>
      <c r="G64" t="inlineStr">
        <is>
          <t>未发现官方STL/Xacro/CAD/STEP</t>
        </is>
      </c>
      <c r="H64" t="inlineStr">
        <is>
          <t>进口</t>
        </is>
      </c>
      <c r="I64" t="inlineStr">
        <is>
          <t>候选</t>
        </is>
      </c>
      <c r="J64" t="inlineStr">
        <is>
          <t>待询价</t>
        </is>
      </c>
      <c r="K64" t="inlineStr">
        <is>
          <t>待询价</t>
        </is>
      </c>
      <c r="L64" t="inlineStr">
        <is>
          <t>待确认</t>
        </is>
      </c>
      <c r="M64" t="inlineStr">
        <is>
          <t>QSight三重四极杆+LC 300前端可作PerkinElmer供应商参考方案。Dual Source/StayClean；LC 300 HPLC 10k psi或UHPLC 18k psi。</t>
        </is>
      </c>
      <c r="N64" t="inlineStr">
        <is>
          <t>标准候选</t>
        </is>
      </c>
      <c r="O64" t="inlineStr">
        <is>
          <t>HW-5 高灵敏液质联用定量分析</t>
        </is>
      </c>
      <c r="P64" t="inlineStr">
        <is>
          <t>在线调研补充</t>
        </is>
      </c>
      <c r="Q64" t="inlineStr">
        <is>
          <t>online-20260709</t>
        </is>
      </c>
      <c r="R64" t="inlineStr">
        <is>
          <t>标准/进口</t>
        </is>
      </c>
      <c r="S64" t="inlineStr">
        <is>
          <t>低</t>
        </is>
      </c>
      <c r="T64" t="inlineStr">
        <is>
          <t>研究员检索官方/公开模型源；未发现官方几何模型，少数有第三方/非官方3D参考。</t>
        </is>
      </c>
      <c r="U64" s="2"/>
      <c r="V64" s="2" t="str">
        <f>=HYPERLINK("https://shop.perkinelmer.com/product/BC003382", "https://shop.perkinelmer.com/product/BC003382")</f>
        <v>https://shop.perkinelmer.com/product/BC003382</v>
      </c>
      <c r="W64" t="inlineStr">
        <is>
          <t>未找到公开官方STL/Xacro/CAD/URDF/STEP；如需仿真建议索取厂家STEP/外形CAD或用尺寸建立占位模型。</t>
        </is>
      </c>
      <c r="X64" t="inlineStr">
        <is>
          <t>LC-MS/MS 三重四极杆液质联用系统</t>
        </is>
      </c>
      <c r="Y64" t="inlineStr">
        <is>
          <t>{"宽mm": "QSight 420未找到；LC 300单泵模块345", "深mm": "QSight 420未找到；LC 300单泵模块560", "高mm": "QSight 420未找到；LC 300单泵模块168", "重量kg": "QSight 420未找到；LC 300单泵模块21", "占地/安装备注": "LC 300尺寸为单pump platform；完整LC stack和MS需另计。", "尺寸来源URL": "https://shop.perkinelmer.com/product/BC003382"}</t>
        </is>
      </c>
      <c r="Z64"/>
    </row>
    <row r="65" ht="25.5" customHeight="1">
      <c r="A65" t="inlineStr">
        <is>
          <t>Cytiva ÄKTA pure 25 L</t>
        </is>
      </c>
      <c r="B65" t="inlineStr">
        <is>
          <t>HW-6 蛋白色谱纯化与配套备件保障</t>
        </is>
      </c>
      <c r="C65" t="inlineStr">
        <is>
          <t>优先候选：FPLC/蛋白纯化系统</t>
        </is>
      </c>
      <c r="D65" t="inlineStr">
        <is>
          <t>Cytiva ÄKTA pure 25 L</t>
        </is>
      </c>
      <c r="E65" t="inlineStr">
        <is>
          <t>图片生成stl</t>
        </is>
      </c>
      <c r="F65" t="inlineStr">
        <is>
          <t>列表, 参考</t>
        </is>
      </c>
      <c r="G65" t="inlineStr">
        <is>
          <t>第三方3D打印模型可用, 未发现官方STEP/URDF</t>
        </is>
      </c>
      <c r="H65" t="inlineStr">
        <is>
          <t>进口</t>
        </is>
      </c>
      <c r="I65" t="inlineStr">
        <is>
          <t>候选</t>
        </is>
      </c>
      <c r="J65" t="inlineStr">
        <is>
          <t>待询价</t>
        </is>
      </c>
      <c r="K65" t="inlineStr">
        <is>
          <t>待询价</t>
        </is>
      </c>
      <c r="L65" t="inlineStr">
        <is>
          <t>待确认</t>
        </is>
      </c>
      <c r="M65" t="inlineStr">
        <is>
          <t>蛋白纯化标杆FPLC平台，适合亲和、IEX、SEC、HIC等研究级纯化。0.001–25 mL/min；柱装填可到50 mL/min；最高20 MPa；UNICORN。</t>
        </is>
      </c>
      <c r="N65" t="inlineStr">
        <is>
          <t>标准候选</t>
        </is>
      </c>
      <c r="O65" t="inlineStr">
        <is>
          <t>HW-6 蛋白色谱纯化与配套备件保障</t>
        </is>
      </c>
      <c r="P65" t="inlineStr">
        <is>
          <t>在线调研补充</t>
        </is>
      </c>
      <c r="Q65" t="inlineStr">
        <is>
          <t>online-20260709</t>
        </is>
      </c>
      <c r="R65" t="inlineStr">
        <is>
          <t>标准/进口</t>
        </is>
      </c>
      <c r="S65" t="inlineStr">
        <is>
          <t>中</t>
        </is>
      </c>
      <c r="T65" t="inlineStr">
        <is>
          <t>第三方MakerWorld模型命中：Mini AKTA Pure (1:7 Scale) Chromatography System，描述为GE/Cytiva AKTA Pure色谱系统1:7微缩模型，含column和fraction collector；未限定ÄKTA pure 25。</t>
        </is>
      </c>
      <c r="U65" s="2" t="str">
        <f>=HYPERLINK("https://makerworld.com/en/models/617716-mini-akta-pure-1-7-scale-chromatography-system", "https://makerworld.com/en/models/617716-mini-akta-pure-1-7-scale-chromatography-system")</f>
        <v>https://makerworld.com/en/models/617716-mini-akta-pure-1-7-scale-chromatography-system</v>
      </c>
      <c r="V65" s="2" t="str">
        <f>=HYPERLINK("https://www.cytivalifesciences.com/en/us/products/items/akta-pure-p-05844", "https://www.cytivalifesciences.com/en/us/products/items/akta-pure-p-05844")</f>
        <v>https://www.cytivalifesciences.com/en/us/products/items/akta-pure-p-05844</v>
      </c>
      <c r="W65" t="inlineStr">
        <is>
          <t>MakerWorld第三方微缩模型可作ÄKTA pure外观参考/占位；非官方且比例为1:7，正式仿真需按实际ÄKTA pure 25 L尺寸缩放与校准。</t>
        </is>
      </c>
      <c r="X65" t="inlineStr">
        <is>
          <t>中压液相色谱纯化系统（FPLC）</t>
        </is>
      </c>
      <c r="Y65" t="inlineStr">
        <is>
          <t>{"宽mm": 535, "深mm": 470, "高mm": 630, "重量kg": "48–53", "占地/安装备注": "系统本体，不含电脑、样品泵、馏分收集器等。", "尺寸来源URL": "https://www.cytivalifesciences.com/en/us/products/items/akta-pure-p-05844"}</t>
        </is>
      </c>
      <c r="Z65"/>
    </row>
    <row r="66" ht="25.5" customHeight="1">
      <c r="A66" t="inlineStr">
        <is>
          <t>Bio-Rad NGC 10 / NGC 100 Chromatography Systems</t>
        </is>
      </c>
      <c r="B66" t="inlineStr">
        <is>
          <t>HW-6 蛋白色谱纯化与配套备件保障</t>
        </is>
      </c>
      <c r="C66" t="inlineStr">
        <is>
          <t>FPLC/中压蛋白纯化备选</t>
        </is>
      </c>
      <c r="D66" t="inlineStr">
        <is>
          <t>Bio-Rad NGC 10 / NGC 100 Chromatography Systems</t>
        </is>
      </c>
      <c r="E66"/>
      <c r="F66" t="inlineStr">
        <is>
          <t>AI</t>
        </is>
      </c>
      <c r="G66" t="inlineStr">
        <is>
          <t>未发现官方STL/Xacro/CAD/STEP</t>
        </is>
      </c>
      <c r="H66" t="inlineStr">
        <is>
          <t>进口</t>
        </is>
      </c>
      <c r="I66" t="inlineStr">
        <is>
          <t>候选</t>
        </is>
      </c>
      <c r="J66" t="inlineStr">
        <is>
          <t>待询价</t>
        </is>
      </c>
      <c r="K66" t="inlineStr">
        <is>
          <t>待询价</t>
        </is>
      </c>
      <c r="L66" t="inlineStr">
        <is>
          <t>待确认</t>
        </is>
      </c>
      <c r="M66" t="inlineStr">
        <is>
          <t>模块化中压色谱系统，覆盖研究级到工艺开发级蛋白纯化。NGC 10最高10 mL/min；NGC 100最高100 mL/min；ChromLab。</t>
        </is>
      </c>
      <c r="N66" t="inlineStr">
        <is>
          <t>标准候选</t>
        </is>
      </c>
      <c r="O66" t="inlineStr">
        <is>
          <t>HW-6 蛋白色谱纯化与配套备件保障</t>
        </is>
      </c>
      <c r="P66" t="inlineStr">
        <is>
          <t>在线调研补充</t>
        </is>
      </c>
      <c r="Q66" t="inlineStr">
        <is>
          <t>online-20260709</t>
        </is>
      </c>
      <c r="R66" t="inlineStr">
        <is>
          <t>标准/进口</t>
        </is>
      </c>
      <c r="S66" t="inlineStr">
        <is>
          <t>低</t>
        </is>
      </c>
      <c r="T66" t="inlineStr">
        <is>
          <t>研究员检索官方/公开模型源；未发现官方几何模型，少数有第三方/非官方3D参考。</t>
        </is>
      </c>
      <c r="U66" s="2"/>
      <c r="V66" s="2" t="str">
        <f>=HYPERLINK("https://www.bio-rad.com/en-us/category/chromatography-systems-components?ID=00beeaa9-651e-44d2-ac80-efa0bcdee0fd", "https://www.bio-rad.com/en-us/category/chromatography-systems-components?ID=00beeaa9-651e-44d2-ac80-efa0bcdee0fd")</f>
        <v>https://www.bio-rad.com/en-us/category/chromatography-systems-components?ID=00beeaa9-651e-44d2-ac80-efa0bcdee0fd</v>
      </c>
      <c r="W66" t="inlineStr">
        <is>
          <t>未找到公开官方STL/Xacro/CAD/URDF/STEP；如需仿真建议索取厂家STEP/外形CAD或用尺寸建立占位模型。</t>
        </is>
      </c>
      <c r="X66" t="inlineStr">
        <is>
          <t>中压液相色谱纯化系统（FPLC）</t>
        </is>
      </c>
      <c r="Y66" t="inlineStr">
        <is>
          <t>{"宽mm": 610, "深mm": 490, "高mm": 560, "重量kg": "未找到", "占地/安装备注": "尺寸来自Biocompare/产品聚合页；Bio-Rad官方brochure/产品页未见公开尺寸。", "尺寸来源URL": "https://www.bio-rad.com/en-us/category/chromatography-systems-components?ID=00beeaa9-651e-44d2-ac80-efa0bcdee0fd"}</t>
        </is>
      </c>
      <c r="Z66"/>
    </row>
    <row r="67" ht="25.5" customHeight="1">
      <c r="A67" t="inlineStr">
        <is>
          <t>Waters LC Prep 150 / LC Prep AutoPurification System</t>
        </is>
      </c>
      <c r="B67" t="inlineStr">
        <is>
          <t>HW-6 蛋白色谱纯化与配套备件保障</t>
        </is>
      </c>
      <c r="C67" t="inlineStr">
        <is>
          <t>制备/纯化 LC 供应商参考</t>
        </is>
      </c>
      <c r="D67" t="inlineStr">
        <is>
          <t>Waters LC Prep 150 / LC Prep AutoPurification System</t>
        </is>
      </c>
      <c r="E67"/>
      <c r="F67" t="inlineStr">
        <is>
          <t>列表, 参考</t>
        </is>
      </c>
      <c r="G67" t="inlineStr">
        <is>
          <t>未发现官方STL/Xacro/CAD/STEP</t>
        </is>
      </c>
      <c r="H67" t="inlineStr">
        <is>
          <t>进口</t>
        </is>
      </c>
      <c r="I67" t="inlineStr">
        <is>
          <t>候选</t>
        </is>
      </c>
      <c r="J67" t="inlineStr">
        <is>
          <t>待询价</t>
        </is>
      </c>
      <c r="K67" t="inlineStr">
        <is>
          <t>待询价</t>
        </is>
      </c>
      <c r="L67" t="inlineStr">
        <is>
          <t>待确认</t>
        </is>
      </c>
      <c r="M67" t="inlineStr">
        <is>
          <t>化合物/样品制备纯化与UV/MS-directed fraction collection参考方案。LC Prep 150：0–150 mL/min；5000 psi；支持WFC III馏分收集。</t>
        </is>
      </c>
      <c r="N67" t="inlineStr">
        <is>
          <t>标准候选</t>
        </is>
      </c>
      <c r="O67" t="inlineStr">
        <is>
          <t>HW-6 蛋白色谱纯化与配套备件保障</t>
        </is>
      </c>
      <c r="P67" t="inlineStr">
        <is>
          <t>在线调研补充</t>
        </is>
      </c>
      <c r="Q67" t="inlineStr">
        <is>
          <t>online-20260709</t>
        </is>
      </c>
      <c r="R67" t="inlineStr">
        <is>
          <t>标准/进口</t>
        </is>
      </c>
      <c r="S67" t="inlineStr">
        <is>
          <t>低</t>
        </is>
      </c>
      <c r="T67" t="inlineStr">
        <is>
          <t>研究员检索官方/公开模型源；未发现官方几何模型，少数有第三方/非官方3D参考。</t>
        </is>
      </c>
      <c r="U67" s="2"/>
      <c r="V67" s="2" t="str">
        <f>=HYPERLINK("https://www.waters.com/nextgen/us/en/products/chromatography/chromatography-systems/lc-prep-150-system.html", "https://www.waters.com/nextgen/us/en/products/chromatography/chromatography-systems/lc-prep-150-system.html")</f>
        <v>https://www.waters.com/nextgen/us/en/products/chromatography/chromatography-systems/lc-prep-150-system.html</v>
      </c>
      <c r="W67" t="inlineStr">
        <is>
          <t>未找到公开官方STL/Xacro/CAD/URDF/STEP；如需仿真建议索取厂家STEP/外形CAD或用尺寸建立占位模型。</t>
        </is>
      </c>
      <c r="X67" t="inlineStr">
        <is>
          <t>超高效液相色谱系统（UPLC）</t>
        </is>
      </c>
      <c r="Y67" t="inlineStr">
        <is>
          <t>{"宽mm": "未找到", "深mm": "未找到", "高mm": "未找到", "重量kg": "未找到", "占地/安装备注": "规格PDF主要列流速、压力、柱尺寸、收集容量，未见系统外形尺寸。", "尺寸来源URL": "https://www.waters.com/nextgen/us/en/products/chromatography/chromatography-systems/lc-prep-150-system.html"}</t>
        </is>
      </c>
      <c r="Z67"/>
    </row>
    <row r="68" ht="25.5" customHeight="1">
      <c r="A68" t="inlineStr">
        <is>
          <t>辉因科技 Pilot600 / 600R 蛋白纯化系统</t>
        </is>
      </c>
      <c r="B68" t="inlineStr">
        <is>
          <t>HW-6 蛋白色谱纯化与配套备件保障</t>
        </is>
      </c>
      <c r="C68" t="inlineStr">
        <is>
          <t>国产 FPLC/中试蛋白纯化备选</t>
        </is>
      </c>
      <c r="D68" t="inlineStr">
        <is>
          <t>辉因科技 Pilot600 / 600R 蛋白纯化系统</t>
        </is>
      </c>
      <c r="E68"/>
      <c r="F68" t="inlineStr">
        <is>
          <t>AI</t>
        </is>
      </c>
      <c r="G68" t="inlineStr">
        <is>
          <t>未发现官方STL/Xacro/CAD/STEP</t>
        </is>
      </c>
      <c r="H68" t="inlineStr">
        <is>
          <t>国产</t>
        </is>
      </c>
      <c r="I68" t="inlineStr">
        <is>
          <t>候选</t>
        </is>
      </c>
      <c r="J68" t="inlineStr">
        <is>
          <t>待询价</t>
        </is>
      </c>
      <c r="K68" t="inlineStr">
        <is>
          <t>待询价</t>
        </is>
      </c>
      <c r="L68" t="inlineStr">
        <is>
          <t>待确认</t>
        </is>
      </c>
      <c r="M68" t="inlineStr">
        <is>
          <t>国产中试级蛋白纯化系统，可作为ÄKTA体系国产替代/补充。0–1200 mL/min可定制；2.0 MPa；三/四波长UV；电导/pH；网口通信。</t>
        </is>
      </c>
      <c r="N68" t="inlineStr">
        <is>
          <t>国产候选</t>
        </is>
      </c>
      <c r="O68" t="inlineStr">
        <is>
          <t>HW-6 蛋白色谱纯化与配套备件保障</t>
        </is>
      </c>
      <c r="P68" t="inlineStr">
        <is>
          <t>在线调研补充</t>
        </is>
      </c>
      <c r="Q68" t="inlineStr">
        <is>
          <t>online-20260709</t>
        </is>
      </c>
      <c r="R68" t="inlineStr">
        <is>
          <t>国产</t>
        </is>
      </c>
      <c r="S68" t="inlineStr">
        <is>
          <t>低</t>
        </is>
      </c>
      <c r="T68" t="inlineStr">
        <is>
          <t>研究员检索官方/公开模型源；未发现官方几何模型，少数有第三方/非官方3D参考。</t>
        </is>
      </c>
      <c r="U68" s="2"/>
      <c r="V68" s="2" t="str">
        <f>=HYPERLINK("https://www.hyglob.com/products/purify/pilot600chromatography.html", "https://www.hyglob.com/products/purify/pilot600chromatography.html")</f>
        <v>https://www.hyglob.com/products/purify/pilot600chromatography.html</v>
      </c>
      <c r="W68" t="inlineStr">
        <is>
          <t>未找到公开官方STL/Xacro/CAD/URDF/STEP；如需仿真建议索取厂家STEP/外形CAD或用尺寸建立占位模型。</t>
        </is>
      </c>
      <c r="X68" t="inlineStr">
        <is>
          <t>中压液相色谱纯化系统（FPLC）</t>
        </is>
      </c>
      <c r="Y68" t="inlineStr">
        <is>
          <t>{"宽mm": "官方未找到", "深mm": "官方未找到", "高mm": "官方未找到", "重量kg": "官方未找到", "占地/安装备注": "官方页未给外形尺寸；第三方AutoPure Pilot600D类似中试系统为720×500×850 mm、80 kg，但非同一精确型号。", "尺寸来源URL": "https://www.hyglob.com/products/purify/pilot600chromatography.html"}</t>
        </is>
      </c>
      <c r="Z68"/>
    </row>
    <row r="69" ht="25.5" customHeight="1">
      <c r="A69" t="inlineStr">
        <is>
          <t>MilliporeSigma / Sigma-Aldrich protein purification resins, columns, buffers</t>
        </is>
      </c>
      <c r="B69" t="inlineStr">
        <is>
          <t>HW-6 蛋白色谱纯化与配套备件保障</t>
        </is>
      </c>
      <c r="C69" t="inlineStr">
        <is>
          <t>配套备件/耗材供应商参考</t>
        </is>
      </c>
      <c r="D69" t="inlineStr">
        <is>
          <t>MilliporeSigma / Sigma-Aldrich protein purification resins, columns, buffers</t>
        </is>
      </c>
      <c r="E69"/>
      <c r="F69" t="inlineStr">
        <is>
          <t>列表, 参考</t>
        </is>
      </c>
      <c r="G69" t="inlineStr">
        <is>
          <t>通用占位模型可用, 无厂家精确CAD</t>
        </is>
      </c>
      <c r="H69" t="inlineStr">
        <is>
          <t>进口耗材/备件</t>
        </is>
      </c>
      <c r="I69" t="inlineStr">
        <is>
          <t>候选</t>
        </is>
      </c>
      <c r="J69" t="inlineStr">
        <is>
          <t>待询价</t>
        </is>
      </c>
      <c r="K69" t="inlineStr">
        <is>
          <t>待询价</t>
        </is>
      </c>
      <c r="L69" t="inlineStr">
        <is>
          <t>待确认</t>
        </is>
      </c>
      <c r="M69" t="inlineStr">
        <is>
          <t>适合建立Protein A/G/L、His/GST/Strep、预装柱、树脂、缓冲液等常备库存。</t>
        </is>
      </c>
      <c r="N69" t="inlineStr">
        <is>
          <t>标准候选</t>
        </is>
      </c>
      <c r="O69" t="inlineStr">
        <is>
          <t>HW-6 蛋白色谱纯化与配套备件保障</t>
        </is>
      </c>
      <c r="P69" t="inlineStr">
        <is>
          <t>在线调研补充</t>
        </is>
      </c>
      <c r="Q69" t="inlineStr">
        <is>
          <t>online-20260709</t>
        </is>
      </c>
      <c r="R69" t="inlineStr">
        <is>
          <t>标准/进口</t>
        </is>
      </c>
      <c r="S69" t="inlineStr">
        <is>
          <t>中</t>
        </is>
      </c>
      <c r="T69" t="inlineStr">
        <is>
          <t>第三方/通用占位模型命中：GrabCAD Omnifit chromatography column、liquid chromatography valve、Chromaflow packing columns；Sketchfab BPG chromatography column；Printables protein purification gravity-flow column stand；GrabCAD Schott Duran 1L bottle。均为通用占位或近似模型，非MilliporeSigma官方精确模型。</t>
        </is>
      </c>
      <c r="U69" s="2" t="str">
        <f>=HYPERLINK("https://grabcad.com/library/chromatography-column-omnifit-1
https://grabcad.com/library/liquid-chromatography-valve-1
https://grabcad.com/library/chromaflow-packing-columns-model-1
https://sketchfab.com/3d-models/bpg-chromatography-column-abf1d3f28dbc4a539f85115571d177ee
https://www.printables.com/model/245721-stand-for-gravity-flow-columns-used-in-protein-pur
https://grabcad.com/library/schott-duran-lab-bottle-1l-gl80-1", "https://grabcad.com/library/chromatography-column-omnifit-1,https://grabcad.com/library/liquid-chromatography-valve-1,https://grabcad.com/library/chromaflow-packing-columns-model-1,https://sketchfab.com/3d-models/bpg-chromatography-column-abf1d3f28dbc4a539f85115571d177ee,https://www.printables.com/model/245721-stand-for-gravity-flow-columns-used-in-protein-pur,https://grabcad.com/library/schott-duran-lab-bottle-1l-gl80-1")</f>
        <v>https://grabcad.com/library/chromatography-column-omnifit-1,https://grabcad.com/library/liquid-chromatography-valve-1,https://grabcad.com/library/chromaflow-packing-columns-model-1,https://sketchfab.com/3d-models/bpg-chromatography-column-abf1d3f28dbc4a539f85115571d177ee,https://www.printables.com/model/245721-stand-for-gravity-flow-columns-used-in-protein-pur,https://grabcad.com/library/schott-duran-lab-bottle-1l-gl80-1</v>
      </c>
      <c r="V69" s="2" t="str">
        <f>=HYPERLINK("https://uvison.com/download/Waters/Waters_Purification_Product_Guide_Brochure_Catalogue.pdf", "https://uvison.com/download/Waters/Waters_Purification_Product_Guide_Brochure_Catalogue.pdf")</f>
        <v>https://uvison.com/download/Waters/Waters_Purification_Product_Guide_Brochure_Catalogue.pdf</v>
      </c>
      <c r="W69" t="inlineStr">
        <is>
          <t>可用这些第三方/通用模型作为蛋白纯化耗材、层析柱、阀、缓冲液瓶的占位资产；具体Sigma/Millipore货号仍需按实际耗材另查/建模。</t>
        </is>
      </c>
      <c r="X69" t="inlineStr">
        <is>
          <t>随机备品备件及首批专用配件</t>
        </is>
      </c>
      <c r="Y69" t="inlineStr">
        <is>
          <t>{"宽mm": "不适用/按具体货号", "深mm": "不适用/按具体货号", "高mm": "不适用/按具体货号", "重量kg": "不适用/按具体货号", "占地/安装备注": "耗材/备件供应商参考，不是单一设备；需按具体货号查SDS/包装尺寸。", "尺寸来源URL": "https://uvison.com/download/Waters/Waters_Purification_Product_Guide_Brochure_Catalogue.pdf"}</t>
        </is>
      </c>
      <c r="Z69"/>
    </row>
    <row r="70" ht="25.5" customHeight="1">
      <c r="A70" t="inlineStr">
        <is>
          <t>Hamilton Vantage</t>
        </is>
      </c>
      <c r="B70" t="inlineStr">
        <is>
          <t>HW-2 高通量自动化表达与克隆筛选</t>
        </is>
      </c>
      <c r="C70" t="inlineStr">
        <is>
          <t>工作站</t>
        </is>
      </c>
      <c r="D70" t="inlineStr">
        <is>
          <t>Hamilton Vantage</t>
        </is>
      </c>
      <c r="E70"/>
      <c r="F70" t="inlineStr">
        <is>
          <t>asset</t>
        </is>
      </c>
      <c r="G70" t="inlineStr">
        <is>
          <t>URDF可用, Mesh可用</t>
        </is>
      </c>
      <c r="H70" t="inlineStr">
        <is>
          <t>asset</t>
        </is>
      </c>
      <c r="I70" t="inlineStr">
        <is>
          <t>asset</t>
        </is>
      </c>
      <c r="J70" t="inlineStr">
        <is>
          <t>不适用</t>
        </is>
      </c>
      <c r="K70" t="inlineStr">
        <is>
          <t>不适用</t>
        </is>
      </c>
      <c r="L70" t="inlineStr">
        <is>
          <t>待确认</t>
        </is>
      </c>
      <c r="M70" t="inlineStr">
        <is>
          <t>PyLabRobot支持级别：Mostly；设备类别：液体处理 / 工作站；模型ID：vantage13m / vantage2m；URDF完整度：L2。</t>
        </is>
      </c>
      <c r="N70" t="inlineStr">
        <is>
          <t>asset</t>
        </is>
      </c>
      <c r="O70" t="inlineStr">
        <is>
          <t>HW-2 高通量自动化表达与克隆筛选</t>
        </is>
      </c>
      <c r="P70" t="inlineStr">
        <is>
          <t>asset:PLR × 模型库覆盖</t>
        </is>
      </c>
      <c r="Q70" t="inlineStr">
        <is>
          <t>pylabrobot_coverage:5</t>
        </is>
      </c>
      <c r="R70" t="inlineStr">
        <is>
          <t>asset</t>
        </is>
      </c>
      <c r="S70" t="inlineStr">
        <is>
          <t>中</t>
        </is>
      </c>
      <c r="T70" t="inlineStr">
        <is>
          <t>来源工作簿 pylabrobot_model_coverage.xlsx / PLR × 模型库覆盖 第5行；模型ID：vantage13m / vantage2m；Mesh：vantage13m.stl vantage13m_top.stl；vantage2m.stl vantage2m_top.stl；关节：—；—；缺失要素：moveable joints, inertial, collision；moveable joints, inertial, collision。</t>
        </is>
      </c>
      <c r="U70" s="2" t="str">
        <f>=HYPERLINK("http://uni-lab-assets / pylabrobot_models", "uni-lab-assets / pylabrobot_models")</f>
        <v>uni-lab-assets / pylabrobot_models</v>
      </c>
      <c r="V70" s="2" t="str">
        <f>=HYPERLINK("http://北京实验室/pylabrobot_model_coverage.xlsx", "北京实验室/pylabrobot_model_coverage.xlsx")</f>
        <v>北京实验室/pylabrobot_model_coverage.xlsx</v>
      </c>
      <c r="W70" t="inlineStr">
        <is>
          <t>已有uni-lab-assets模型，URDF完整度L2；无需结构化尺寸。Backend可按现有仿真节点模式接入。</t>
        </is>
      </c>
      <c r="X70" t="inlineStr">
        <is>
          <t>高通量自动化液体处理工作站 / 灵活8通道移液工作站 / 96通道移液工作站</t>
        </is>
      </c>
      <c r="Y70"/>
      <c r="Z70"/>
    </row>
    <row r="71" ht="25.5" customHeight="1">
      <c r="A71" t="inlineStr">
        <is>
          <t>Tecan Freedom EVO</t>
        </is>
      </c>
      <c r="B71" t="inlineStr">
        <is>
          <t>HW-2 高通量自动化表达与克隆筛选</t>
        </is>
      </c>
      <c r="C71" t="inlineStr">
        <is>
          <t>工作站</t>
        </is>
      </c>
      <c r="D71" t="inlineStr">
        <is>
          <t>Tecan Freedom EVO</t>
        </is>
      </c>
      <c r="E71" t="inlineStr">
        <is>
          <t>存在近似asset</t>
        </is>
      </c>
      <c r="F71" t="inlineStr">
        <is>
          <t>asset</t>
        </is>
      </c>
      <c r="G71" t="inlineStr">
        <is>
          <t>URDF可用, Mesh可用</t>
        </is>
      </c>
      <c r="H71" t="inlineStr">
        <is>
          <t>asset</t>
        </is>
      </c>
      <c r="I71" t="inlineStr">
        <is>
          <t>asset</t>
        </is>
      </c>
      <c r="J71" t="inlineStr">
        <is>
          <t>不适用</t>
        </is>
      </c>
      <c r="K71" t="inlineStr">
        <is>
          <t>不适用</t>
        </is>
      </c>
      <c r="L71" t="inlineStr">
        <is>
          <t>待确认</t>
        </is>
      </c>
      <c r="M71" t="inlineStr">
        <is>
          <t>PyLabRobot支持级别：Basic；设备类别：液体处理 / 工作站；模型ID：tecan_evo75/100/150/200；URDF完整度：L2。</t>
        </is>
      </c>
      <c r="N71" t="inlineStr">
        <is>
          <t>作为近似asset参考于：Tecan Fluent 780（recvoR2BQeFvMI）；非精确型号，保留独立asset记录。</t>
        </is>
      </c>
      <c r="O71" t="inlineStr">
        <is>
          <t>HW-2 高通量自动化表达与克隆筛选</t>
        </is>
      </c>
      <c r="P71" t="inlineStr">
        <is>
          <t>asset:PLR × 模型库覆盖</t>
        </is>
      </c>
      <c r="Q71" t="inlineStr">
        <is>
          <t>pylabrobot_coverage:8</t>
        </is>
      </c>
      <c r="R71" t="inlineStr">
        <is>
          <t>asset</t>
        </is>
      </c>
      <c r="S71" t="inlineStr">
        <is>
          <t>中</t>
        </is>
      </c>
      <c r="T71" t="inlineStr">
        <is>
          <t>来源工作簿 pylabrobot_model_coverage.xlsx / PLR × 模型库覆盖 第8行；模型ID：tecan_evo75/100/150/200；Mesh：0_base.stl 1_glass.stl；关节：—；缺失要素：moveable joints, inertial, collision。</t>
        </is>
      </c>
      <c r="U71" s="2" t="str">
        <f>=HYPERLINK("http://uni-lab-assets / pylabrobot_models", "uni-lab-assets / pylabrobot_models")</f>
        <v>uni-lab-assets / pylabrobot_models</v>
      </c>
      <c r="V71" s="2" t="str">
        <f>=HYPERLINK("http://北京实验室/pylabrobot_model_coverage.xlsx", "北京实验室/pylabrobot_model_coverage.xlsx")</f>
        <v>北京实验室/pylabrobot_model_coverage.xlsx</v>
      </c>
      <c r="W71" t="inlineStr">
        <is>
          <t>已有uni-lab-assets模型，URDF完整度L2；无需结构化尺寸。Backend可按现有仿真节点模式接入。</t>
        </is>
      </c>
      <c r="X71" t="inlineStr">
        <is>
          <t>高通量自动化液体处理工作站 / 灵活8通道移液工作站 / 96通道移液工作站</t>
        </is>
      </c>
      <c r="Y71"/>
      <c r="Z71"/>
    </row>
    <row r="72" ht="25.5" customHeight="1">
      <c r="A72" t="inlineStr">
        <is>
          <t>Agilent (BioTek) EL406</t>
        </is>
      </c>
      <c r="B72" t="inlineStr">
        <is>
          <t>HW-2 高通量自动化表达与克隆筛选</t>
        </is>
      </c>
      <c r="C72" t="inlineStr">
        <is>
          <t>板清洗机</t>
        </is>
      </c>
      <c r="D72" t="inlineStr">
        <is>
          <t>Agilent (BioTek) EL406</t>
        </is>
      </c>
      <c r="E72"/>
      <c r="F72" t="inlineStr">
        <is>
          <t>asset</t>
        </is>
      </c>
      <c r="G72" t="inlineStr">
        <is>
          <t>URDF可用, Mesh可用</t>
        </is>
      </c>
      <c r="H72" t="inlineStr">
        <is>
          <t>asset</t>
        </is>
      </c>
      <c r="I72" t="inlineStr">
        <is>
          <t>asset</t>
        </is>
      </c>
      <c r="J72" t="inlineStr">
        <is>
          <t>不适用</t>
        </is>
      </c>
      <c r="K72" t="inlineStr">
        <is>
          <t>不适用</t>
        </is>
      </c>
      <c r="L72" t="inlineStr">
        <is>
          <t>待确认</t>
        </is>
      </c>
      <c r="M72" t="inlineStr">
        <is>
          <t>PyLabRobot支持级别：Mostly；设备类别：液体处理 / 板清洗机；模型ID：biotek_el406；URDF完整度：L3 ★。</t>
        </is>
      </c>
      <c r="N72" t="inlineStr">
        <is>
          <t>asset</t>
        </is>
      </c>
      <c r="O72" t="inlineStr">
        <is>
          <t>HW-2 高通量自动化表达与克隆筛选</t>
        </is>
      </c>
      <c r="P72" t="inlineStr">
        <is>
          <t>asset:PLR × 模型库覆盖</t>
        </is>
      </c>
      <c r="Q72" t="inlineStr">
        <is>
          <t>pylabrobot_coverage:12</t>
        </is>
      </c>
      <c r="R72" t="inlineStr">
        <is>
          <t>asset</t>
        </is>
      </c>
      <c r="S72" t="inlineStr">
        <is>
          <t>高</t>
        </is>
      </c>
      <c r="T72" t="inlineStr">
        <is>
          <t>来源工作簿 pylabrobot_model_coverage.xlsx / PLR × 模型库覆盖 第12行；模型ID：biotek_el406；Mesh：0_base.stl 1_tray.stl；关节：托板(prismatic)；缺失要素：inertial, collision。</t>
        </is>
      </c>
      <c r="U72" s="2" t="str">
        <f>=HYPERLINK("http://uni-lab-assets / pylabrobot_models", "uni-lab-assets / pylabrobot_models")</f>
        <v>uni-lab-assets / pylabrobot_models</v>
      </c>
      <c r="V72" s="2" t="str">
        <f>=HYPERLINK("http://北京实验室/pylabrobot_model_coverage.xlsx", "北京实验室/pylabrobot_model_coverage.xlsx")</f>
        <v>北京实验室/pylabrobot_model_coverage.xlsx</v>
      </c>
      <c r="W72" t="inlineStr">
        <is>
          <t>已有uni-lab-assets模型，URDF完整度L3 ★；无需结构化尺寸。Backend可按现有仿真节点模式接入。</t>
        </is>
      </c>
      <c r="X72" t="inlineStr">
        <is>
          <t>HW-2 其他仪器</t>
        </is>
      </c>
      <c r="Y72"/>
      <c r="Z72"/>
    </row>
    <row r="73" ht="25.5" customHeight="1">
      <c r="A73" t="inlineStr">
        <is>
          <t>Brooks Automation PreciseFlex PF400</t>
        </is>
      </c>
      <c r="B73" t="inlineStr">
        <is>
          <t>HW-2 高通量自动化表达与克隆筛选</t>
        </is>
      </c>
      <c r="C73" t="inlineStr">
        <is>
          <t>机械臂</t>
        </is>
      </c>
      <c r="D73" t="inlineStr">
        <is>
          <t>Brooks Automation PreciseFlex PF400</t>
        </is>
      </c>
      <c r="E73"/>
      <c r="F73" t="inlineStr">
        <is>
          <t>asset</t>
        </is>
      </c>
      <c r="G73" t="inlineStr">
        <is>
          <t>URDF可用, Mesh可用</t>
        </is>
      </c>
      <c r="H73" t="inlineStr">
        <is>
          <t>asset</t>
        </is>
      </c>
      <c r="I73" t="inlineStr">
        <is>
          <t>asset</t>
        </is>
      </c>
      <c r="J73" t="inlineStr">
        <is>
          <t>不适用</t>
        </is>
      </c>
      <c r="K73" t="inlineStr">
        <is>
          <t>不适用</t>
        </is>
      </c>
      <c r="L73" t="inlineStr">
        <is>
          <t>待确认</t>
        </is>
      </c>
      <c r="M73" t="inlineStr">
        <is>
          <t>PyLabRobot支持级别：Full；设备类别：物料处理 / 机械臂；模型ID：pf_400 / pf_400_rail；URDF完整度：L3 ★★。</t>
        </is>
      </c>
      <c r="N73" t="inlineStr">
        <is>
          <t>asset</t>
        </is>
      </c>
      <c r="O73" t="inlineStr">
        <is>
          <t>HW-2 高通量自动化表达与克隆筛选</t>
        </is>
      </c>
      <c r="P73" t="inlineStr">
        <is>
          <t>asset:PLR × 模型库覆盖</t>
        </is>
      </c>
      <c r="Q73" t="inlineStr">
        <is>
          <t>pylabrobot_coverage:14</t>
        </is>
      </c>
      <c r="R73" t="inlineStr">
        <is>
          <t>asset</t>
        </is>
      </c>
      <c r="S73" t="inlineStr">
        <is>
          <t>高</t>
        </is>
      </c>
      <c r="T73" t="inlineStr">
        <is>
          <t>来源工作簿 pylabrobot_model_coverage.xlsx / PLR × 模型库覆盖 第14行；模型ID：pf_400 / pf_400_rail；Mesh：pf400-0~5R.stl (×7)；rail-0~1.stl pf400-0~5R.stl (×9)；关节：升降(prismatic) 肩(revolute) 肘(revolute) 腕(revolute) 左夹(prismatic) 右夹(prismatic)；导轨(prismatic) 升降(prismatic) 肩(revolute) 肘(revolute) 腕(revolute) 左夹(prismatic) 右夹(prismatic)；缺失要素：inertial, collision；inertial, collision。</t>
        </is>
      </c>
      <c r="U73" s="2" t="str">
        <f>=HYPERLINK("http://uni-lab-assets / pylabrobot_models", "uni-lab-assets / pylabrobot_models")</f>
        <v>uni-lab-assets / pylabrobot_models</v>
      </c>
      <c r="V73" s="2" t="str">
        <f>=HYPERLINK("http://北京实验室/pylabrobot_model_coverage.xlsx", "北京实验室/pylabrobot_model_coverage.xlsx")</f>
        <v>北京实验室/pylabrobot_model_coverage.xlsx</v>
      </c>
      <c r="W73" t="inlineStr">
        <is>
          <t>已有uni-lab-assets模型，URDF完整度L3 ★★；无需结构化尺寸。Backend可按现有仿真节点模式接入。</t>
        </is>
      </c>
      <c r="X73" t="inlineStr">
        <is>
          <t>机械臂/协作机器人（自动化集成）</t>
        </is>
      </c>
      <c r="Y73"/>
      <c r="Z73"/>
    </row>
    <row r="74" ht="25.5" customHeight="1">
      <c r="A74" t="inlineStr">
        <is>
          <t>PAA KX2</t>
        </is>
      </c>
      <c r="B74" t="inlineStr">
        <is>
          <t>HW-2 高通量自动化表达与克隆筛选</t>
        </is>
      </c>
      <c r="C74" t="inlineStr">
        <is>
          <t>机械臂</t>
        </is>
      </c>
      <c r="D74" t="inlineStr">
        <is>
          <t>PAA KX2</t>
        </is>
      </c>
      <c r="E74"/>
      <c r="F74" t="inlineStr">
        <is>
          <t>asset</t>
        </is>
      </c>
      <c r="G74" t="inlineStr">
        <is>
          <t>URDF可用, Mesh可用</t>
        </is>
      </c>
      <c r="H74" t="inlineStr">
        <is>
          <t>asset</t>
        </is>
      </c>
      <c r="I74" t="inlineStr">
        <is>
          <t>asset</t>
        </is>
      </c>
      <c r="J74" t="inlineStr">
        <is>
          <t>不适用</t>
        </is>
      </c>
      <c r="K74" t="inlineStr">
        <is>
          <t>不适用</t>
        </is>
      </c>
      <c r="L74" t="inlineStr">
        <is>
          <t>待确认</t>
        </is>
      </c>
      <c r="M74" t="inlineStr">
        <is>
          <t>PyLabRobot支持级别：WIP；设备类别：物料处理 / 机械臂；模型ID：paa_kx_2_750_robot / paa_kx_660；URDF完整度：L3 ★★。</t>
        </is>
      </c>
      <c r="N74" t="inlineStr">
        <is>
          <t>asset</t>
        </is>
      </c>
      <c r="O74" t="inlineStr">
        <is>
          <t>HW-2 高通量自动化表达与克隆筛选</t>
        </is>
      </c>
      <c r="P74" t="inlineStr">
        <is>
          <t>asset:PLR × 模型库覆盖</t>
        </is>
      </c>
      <c r="Q74" t="inlineStr">
        <is>
          <t>pylabrobot_coverage:16</t>
        </is>
      </c>
      <c r="R74" t="inlineStr">
        <is>
          <t>asset</t>
        </is>
      </c>
      <c r="S74" t="inlineStr">
        <is>
          <t>高</t>
        </is>
      </c>
      <c r="T74" t="inlineStr">
        <is>
          <t>来源工作簿 pylabrobot_model_coverage.xlsx / PLR × 模型库覆盖 第16行；模型ID：paa_kx_2_750_robot / paa_kx_660；Mesh：0_base~6_hand+gripper.stl (×9)；0_base~7_gripper.stl (×9)；关节：升降(prismatic) 肩(revolute) 肘×3(continuous) 腕(revolute) 末端(continuous) 左/右夹(prismatic×2)；基座旋转(continuous) 升降(prismatic) 关节×4(continuous) 左/右夹(prismatic×2)；缺失要素：inertial, collision；inertial, collision。</t>
        </is>
      </c>
      <c r="U74" s="2" t="str">
        <f>=HYPERLINK("http://uni-lab-assets / pylabrobot_models", "uni-lab-assets / pylabrobot_models")</f>
        <v>uni-lab-assets / pylabrobot_models</v>
      </c>
      <c r="V74" s="2" t="str">
        <f>=HYPERLINK("http://北京实验室/pylabrobot_model_coverage.xlsx", "北京实验室/pylabrobot_model_coverage.xlsx")</f>
        <v>北京实验室/pylabrobot_model_coverage.xlsx</v>
      </c>
      <c r="W74" t="inlineStr">
        <is>
          <t>已有uni-lab-assets模型，URDF完整度L3 ★★；无需结构化尺寸。Backend可按现有仿真节点模式接入。</t>
        </is>
      </c>
      <c r="X74" t="inlineStr">
        <is>
          <t>机械臂/协作机器人（自动化集成）</t>
        </is>
      </c>
      <c r="Y74"/>
      <c r="Z74"/>
    </row>
    <row r="75" ht="25.5" customHeight="1">
      <c r="A75" t="inlineStr">
        <is>
          <t>Agilent VSpin Access2 Loader</t>
        </is>
      </c>
      <c r="B75" t="inlineStr">
        <is>
          <t>HW-2 高通量自动化表达与克隆筛选</t>
        </is>
      </c>
      <c r="C75" t="inlineStr">
        <is>
          <t>离心机</t>
        </is>
      </c>
      <c r="D75" t="inlineStr">
        <is>
          <t>Agilent VSpin Access2 Loader</t>
        </is>
      </c>
      <c r="E75"/>
      <c r="F75" t="inlineStr">
        <is>
          <t>asset</t>
        </is>
      </c>
      <c r="G75" t="inlineStr">
        <is>
          <t>URDF可用, Mesh可用</t>
        </is>
      </c>
      <c r="H75" t="inlineStr">
        <is>
          <t>asset</t>
        </is>
      </c>
      <c r="I75" t="inlineStr">
        <is>
          <t>asset</t>
        </is>
      </c>
      <c r="J75" t="inlineStr">
        <is>
          <t>不适用</t>
        </is>
      </c>
      <c r="K75" t="inlineStr">
        <is>
          <t>不适用</t>
        </is>
      </c>
      <c r="L75" t="inlineStr">
        <is>
          <t>待确认</t>
        </is>
      </c>
      <c r="M75" t="inlineStr">
        <is>
          <t>PyLabRobot支持级别：Full；设备类别：物料处理 / 离心机；模型ID：agilent_centrifuge_loader；URDF完整度：L2。</t>
        </is>
      </c>
      <c r="N75" t="inlineStr">
        <is>
          <t>asset</t>
        </is>
      </c>
      <c r="O75" t="inlineStr">
        <is>
          <t>HW-2 高通量自动化表达与克隆筛选</t>
        </is>
      </c>
      <c r="P75" t="inlineStr">
        <is>
          <t>asset:PLR × 模型库覆盖</t>
        </is>
      </c>
      <c r="Q75" t="inlineStr">
        <is>
          <t>pylabrobot_coverage:18</t>
        </is>
      </c>
      <c r="R75" t="inlineStr">
        <is>
          <t>asset</t>
        </is>
      </c>
      <c r="S75" t="inlineStr">
        <is>
          <t>中</t>
        </is>
      </c>
      <c r="T75" t="inlineStr">
        <is>
          <t>来源工作簿 pylabrobot_model_coverage.xlsx / PLR × 模型库覆盖 第18行；模型ID：agilent_centrifuge_loader；Mesh：0_body.stl；关节：—；缺失要素：moveable joints, inertial, collision。</t>
        </is>
      </c>
      <c r="U75" s="2" t="str">
        <f>=HYPERLINK("http://uni-lab-assets / pylabrobot_models", "uni-lab-assets / pylabrobot_models")</f>
        <v>uni-lab-assets / pylabrobot_models</v>
      </c>
      <c r="V75" s="2" t="str">
        <f>=HYPERLINK("http://北京实验室/pylabrobot_model_coverage.xlsx", "北京实验室/pylabrobot_model_coverage.xlsx")</f>
        <v>北京实验室/pylabrobot_model_coverage.xlsx</v>
      </c>
      <c r="W75" t="inlineStr">
        <is>
          <t>已有uni-lab-assets模型，URDF完整度L2；无需结构化尺寸。Backend可按现有仿真节点模式接入。</t>
        </is>
      </c>
      <c r="X75" t="inlineStr">
        <is>
          <t>多孔板离心机 / RT离心机 / 4°C离心机</t>
        </is>
      </c>
      <c r="Y75"/>
      <c r="Z75"/>
    </row>
    <row r="76" ht="25.5" customHeight="1">
      <c r="A76" t="inlineStr">
        <is>
          <t>Inheco Thermoshake AC</t>
        </is>
      </c>
      <c r="B76" t="inlineStr">
        <is>
          <t>HW-2 高通量自动化表达与克隆筛选</t>
        </is>
      </c>
      <c r="C76" t="inlineStr">
        <is>
          <t>加热振荡器</t>
        </is>
      </c>
      <c r="D76" t="inlineStr">
        <is>
          <t>Inheco Thermoshake AC</t>
        </is>
      </c>
      <c r="E76"/>
      <c r="F76" t="inlineStr">
        <is>
          <t>asset</t>
        </is>
      </c>
      <c r="G76" t="inlineStr">
        <is>
          <t>URDF可用, Mesh可用</t>
        </is>
      </c>
      <c r="H76" t="inlineStr">
        <is>
          <t>asset</t>
        </is>
      </c>
      <c r="I76" t="inlineStr">
        <is>
          <t>asset</t>
        </is>
      </c>
      <c r="J76" t="inlineStr">
        <is>
          <t>不适用</t>
        </is>
      </c>
      <c r="K76" t="inlineStr">
        <is>
          <t>不适用</t>
        </is>
      </c>
      <c r="L76" t="inlineStr">
        <is>
          <t>待确认</t>
        </is>
      </c>
      <c r="M76" t="inlineStr">
        <is>
          <t>PyLabRobot支持级别：Full；设备类别：物料处理 / 加热振荡器；模型ID：inheco_shakeac；URDF完整度：L2。</t>
        </is>
      </c>
      <c r="N76" t="inlineStr">
        <is>
          <t>asset</t>
        </is>
      </c>
      <c r="O76" t="inlineStr">
        <is>
          <t>HW-3 微型平行发酵与生物过程培养</t>
        </is>
      </c>
      <c r="P76" t="inlineStr">
        <is>
          <t>asset:PLR × 模型库覆盖</t>
        </is>
      </c>
      <c r="Q76" t="inlineStr">
        <is>
          <t>pylabrobot_coverage:21</t>
        </is>
      </c>
      <c r="R76" t="inlineStr">
        <is>
          <t>asset</t>
        </is>
      </c>
      <c r="S76" t="inlineStr">
        <is>
          <t>中</t>
        </is>
      </c>
      <c r="T76" t="inlineStr">
        <is>
          <t>来源工作簿 pylabrobot_model_coverage.xlsx / PLR × 模型库覆盖 第21行；模型ID：inheco_shakeac；Mesh：thermoshakeac.stl；关节：—；缺失要素：moveable joints, inertial, collision。</t>
        </is>
      </c>
      <c r="U76" s="2" t="str">
        <f>=HYPERLINK("http://uni-lab-assets / pylabrobot_models", "uni-lab-assets / pylabrobot_models")</f>
        <v>uni-lab-assets / pylabrobot_models</v>
      </c>
      <c r="V76" s="2" t="str">
        <f>=HYPERLINK("http://北京实验室/pylabrobot_model_coverage.xlsx", "北京实验室/pylabrobot_model_coverage.xlsx")</f>
        <v>北京实验室/pylabrobot_model_coverage.xlsx</v>
      </c>
      <c r="W76" t="inlineStr">
        <is>
          <t>已有uni-lab-assets模型，URDF完整度L2；无需结构化尺寸。Backend可按现有仿真节点模式接入。</t>
        </is>
      </c>
      <c r="X76" t="inlineStr">
        <is>
          <t>微量振荡培养箱与恒温板 / 震荡培养箱</t>
        </is>
      </c>
      <c r="Y76"/>
      <c r="Z76"/>
    </row>
    <row r="77" ht="25.5" customHeight="1">
      <c r="A77" t="inlineStr">
        <is>
          <t>Opentrons Heater Shaker</t>
        </is>
      </c>
      <c r="B77" t="inlineStr">
        <is>
          <t>HW-2 高通量自动化表达与克隆筛选</t>
        </is>
      </c>
      <c r="C77" t="inlineStr">
        <is>
          <t>加热振荡器</t>
        </is>
      </c>
      <c r="D77" t="inlineStr">
        <is>
          <t>Opentrons Heater Shaker</t>
        </is>
      </c>
      <c r="E77"/>
      <c r="F77" t="inlineStr">
        <is>
          <t>asset</t>
        </is>
      </c>
      <c r="G77" t="inlineStr">
        <is>
          <t>URDF可用, Mesh可用</t>
        </is>
      </c>
      <c r="H77" t="inlineStr">
        <is>
          <t>asset</t>
        </is>
      </c>
      <c r="I77" t="inlineStr">
        <is>
          <t>asset</t>
        </is>
      </c>
      <c r="J77" t="inlineStr">
        <is>
          <t>不适用</t>
        </is>
      </c>
      <c r="K77" t="inlineStr">
        <is>
          <t>不适用</t>
        </is>
      </c>
      <c r="L77" t="inlineStr">
        <is>
          <t>待确认</t>
        </is>
      </c>
      <c r="M77" t="inlineStr">
        <is>
          <t>PyLabRobot支持级别：Full；设备类别：物料处理 / 加热振荡器；模型ID：opentrons_heater_shaker_module；URDF完整度：L2。</t>
        </is>
      </c>
      <c r="N77" t="inlineStr">
        <is>
          <t>asset</t>
        </is>
      </c>
      <c r="O77" t="inlineStr">
        <is>
          <t>HW-3 微型平行发酵与生物过程培养</t>
        </is>
      </c>
      <c r="P77" t="inlineStr">
        <is>
          <t>asset:PLR × 模型库覆盖</t>
        </is>
      </c>
      <c r="Q77" t="inlineStr">
        <is>
          <t>pylabrobot_coverage:22</t>
        </is>
      </c>
      <c r="R77" t="inlineStr">
        <is>
          <t>asset</t>
        </is>
      </c>
      <c r="S77" t="inlineStr">
        <is>
          <t>中</t>
        </is>
      </c>
      <c r="T77" t="inlineStr">
        <is>
          <t>来源工作簿 pylabrobot_model_coverage.xlsx / PLR × 模型库覆盖 第22行；模型ID：opentrons_heater_shaker_module；Mesh：0_base.stl；关节：—；缺失要素：moveable joints, inertial, collision。</t>
        </is>
      </c>
      <c r="U77" s="2" t="str">
        <f>=HYPERLINK("http://uni-lab-assets / pylabrobot_models", "uni-lab-assets / pylabrobot_models")</f>
        <v>uni-lab-assets / pylabrobot_models</v>
      </c>
      <c r="V77" s="2" t="str">
        <f>=HYPERLINK("http://北京实验室/pylabrobot_model_coverage.xlsx", "北京实验室/pylabrobot_model_coverage.xlsx")</f>
        <v>北京实验室/pylabrobot_model_coverage.xlsx</v>
      </c>
      <c r="W77" t="inlineStr">
        <is>
          <t>已有uni-lab-assets模型，URDF完整度L2；无需结构化尺寸。Backend可按现有仿真节点模式接入。</t>
        </is>
      </c>
      <c r="X77" t="inlineStr">
        <is>
          <t>微量振荡培养箱与恒温板 / 震荡培养箱</t>
        </is>
      </c>
      <c r="Y77"/>
      <c r="Z77"/>
    </row>
    <row r="78" ht="25.5" customHeight="1">
      <c r="A78" t="inlineStr">
        <is>
          <t>Hamilton Heater Shaker</t>
        </is>
      </c>
      <c r="B78" t="inlineStr">
        <is>
          <t>HW-2 高通量自动化表达与克隆筛选</t>
        </is>
      </c>
      <c r="C78" t="inlineStr">
        <is>
          <t>加热振荡器</t>
        </is>
      </c>
      <c r="D78" t="inlineStr">
        <is>
          <t>Hamilton Heater Shaker</t>
        </is>
      </c>
      <c r="E78"/>
      <c r="F78" t="inlineStr">
        <is>
          <t>asset</t>
        </is>
      </c>
      <c r="G78" t="inlineStr">
        <is>
          <t>URDF可用, Mesh可用</t>
        </is>
      </c>
      <c r="H78" t="inlineStr">
        <is>
          <t>asset</t>
        </is>
      </c>
      <c r="I78" t="inlineStr">
        <is>
          <t>asset</t>
        </is>
      </c>
      <c r="J78" t="inlineStr">
        <is>
          <t>不适用</t>
        </is>
      </c>
      <c r="K78" t="inlineStr">
        <is>
          <t>不适用</t>
        </is>
      </c>
      <c r="L78" t="inlineStr">
        <is>
          <t>待确认</t>
        </is>
      </c>
      <c r="M78" t="inlineStr">
        <is>
          <t>PyLabRobot支持级别：Full；设备类别：物料处理 / 加热振荡器；模型ID：hamilton_heater_shaker_carrier_base；URDF完整度：L2。</t>
        </is>
      </c>
      <c r="N78" t="inlineStr">
        <is>
          <t>asset</t>
        </is>
      </c>
      <c r="O78" t="inlineStr">
        <is>
          <t>HW-3 微型平行发酵与生物过程培养</t>
        </is>
      </c>
      <c r="P78" t="inlineStr">
        <is>
          <t>asset:PLR × 模型库覆盖</t>
        </is>
      </c>
      <c r="Q78" t="inlineStr">
        <is>
          <t>pylabrobot_coverage:23</t>
        </is>
      </c>
      <c r="R78" t="inlineStr">
        <is>
          <t>asset</t>
        </is>
      </c>
      <c r="S78" t="inlineStr">
        <is>
          <t>中</t>
        </is>
      </c>
      <c r="T78" t="inlineStr">
        <is>
          <t>来源工作簿 pylabrobot_model_coverage.xlsx / PLR × 模型库覆盖 第23行；模型ID：hamilton_heater_shaker_carrier_base；Mesh：0_base.stl；关节：—；缺失要素：moveable joints, inertial, collision。</t>
        </is>
      </c>
      <c r="U78" s="2" t="str">
        <f>=HYPERLINK("http://uni-lab-assets / pylabrobot_models", "uni-lab-assets / pylabrobot_models")</f>
        <v>uni-lab-assets / pylabrobot_models</v>
      </c>
      <c r="V78" s="2" t="str">
        <f>=HYPERLINK("http://北京实验室/pylabrobot_model_coverage.xlsx", "北京实验室/pylabrobot_model_coverage.xlsx")</f>
        <v>北京实验室/pylabrobot_model_coverage.xlsx</v>
      </c>
      <c r="W78" t="inlineStr">
        <is>
          <t>已有uni-lab-assets模型，URDF完整度L2；无需结构化尺寸。Backend可按现有仿真节点模式接入。</t>
        </is>
      </c>
      <c r="X78" t="inlineStr">
        <is>
          <t>微量振荡培养箱与恒温板 / 震荡培养箱</t>
        </is>
      </c>
      <c r="Y78"/>
      <c r="Z78"/>
    </row>
    <row r="79" ht="25.5" customHeight="1">
      <c r="A79" t="inlineStr">
        <is>
          <t>QInstruments BioShake 3000T</t>
        </is>
      </c>
      <c r="B79" t="inlineStr">
        <is>
          <t>HW-2 高通量自动化表达与克隆筛选</t>
        </is>
      </c>
      <c r="C79" t="inlineStr">
        <is>
          <t>加热振荡器</t>
        </is>
      </c>
      <c r="D79" t="inlineStr">
        <is>
          <t>QInstruments BioShake 3000T</t>
        </is>
      </c>
      <c r="E79"/>
      <c r="F79" t="inlineStr">
        <is>
          <t>asset</t>
        </is>
      </c>
      <c r="G79" t="inlineStr">
        <is>
          <t>URDF可用, Mesh可用</t>
        </is>
      </c>
      <c r="H79" t="inlineStr">
        <is>
          <t>asset</t>
        </is>
      </c>
      <c r="I79" t="inlineStr">
        <is>
          <t>asset</t>
        </is>
      </c>
      <c r="J79" t="inlineStr">
        <is>
          <t>不适用</t>
        </is>
      </c>
      <c r="K79" t="inlineStr">
        <is>
          <t>不适用</t>
        </is>
      </c>
      <c r="L79" t="inlineStr">
        <is>
          <t>待确认</t>
        </is>
      </c>
      <c r="M79" t="inlineStr">
        <is>
          <t>PyLabRobot支持级别：Full；设备类别：物料处理 / 加热振荡器；模型ID：qinstruments_bioshake_3000t；URDF完整度：L2。</t>
        </is>
      </c>
      <c r="N79" t="inlineStr">
        <is>
          <t>asset</t>
        </is>
      </c>
      <c r="O79" t="inlineStr">
        <is>
          <t>HW-3 微型平行发酵与生物过程培养</t>
        </is>
      </c>
      <c r="P79" t="inlineStr">
        <is>
          <t>asset:PLR × 模型库覆盖</t>
        </is>
      </c>
      <c r="Q79" t="inlineStr">
        <is>
          <t>pylabrobot_coverage:24</t>
        </is>
      </c>
      <c r="R79" t="inlineStr">
        <is>
          <t>asset</t>
        </is>
      </c>
      <c r="S79" t="inlineStr">
        <is>
          <t>中</t>
        </is>
      </c>
      <c r="T79" t="inlineStr">
        <is>
          <t>来源工作簿 pylabrobot_model_coverage.xlsx / PLR × 模型库覆盖 第24行；模型ID：qinstruments_bioshake_3000t；Mesh：bioshake_3000t.stl；关节：—；缺失要素：moveable joints, inertial, collision。</t>
        </is>
      </c>
      <c r="U79" s="2" t="str">
        <f>=HYPERLINK("http://uni-lab-assets / pylabrobot_models", "uni-lab-assets / pylabrobot_models")</f>
        <v>uni-lab-assets / pylabrobot_models</v>
      </c>
      <c r="V79" s="2" t="str">
        <f>=HYPERLINK("http://北京实验室/pylabrobot_model_coverage.xlsx", "北京实验室/pylabrobot_model_coverage.xlsx")</f>
        <v>北京实验室/pylabrobot_model_coverage.xlsx</v>
      </c>
      <c r="W79" t="inlineStr">
        <is>
          <t>已有uni-lab-assets模型，URDF完整度L2；无需结构化尺寸。Backend可按现有仿真节点模式接入。</t>
        </is>
      </c>
      <c r="X79" t="inlineStr">
        <is>
          <t>微量振荡培养箱与恒温板 / 震荡培养箱</t>
        </is>
      </c>
      <c r="Y79"/>
      <c r="Z79"/>
    </row>
    <row r="80" ht="25.5" customHeight="1">
      <c r="A80" t="inlineStr">
        <is>
          <t>QInstruments BioShake 5000</t>
        </is>
      </c>
      <c r="B80" t="inlineStr">
        <is>
          <t>HW-2 高通量自动化表达与克隆筛选</t>
        </is>
      </c>
      <c r="C80" t="inlineStr">
        <is>
          <t>加热振荡器</t>
        </is>
      </c>
      <c r="D80" t="inlineStr">
        <is>
          <t>QInstruments BioShake 5000</t>
        </is>
      </c>
      <c r="E80"/>
      <c r="F80" t="inlineStr">
        <is>
          <t>asset</t>
        </is>
      </c>
      <c r="G80" t="inlineStr">
        <is>
          <t>URDF可用, Mesh可用</t>
        </is>
      </c>
      <c r="H80" t="inlineStr">
        <is>
          <t>asset</t>
        </is>
      </c>
      <c r="I80" t="inlineStr">
        <is>
          <t>asset</t>
        </is>
      </c>
      <c r="J80" t="inlineStr">
        <is>
          <t>不适用</t>
        </is>
      </c>
      <c r="K80" t="inlineStr">
        <is>
          <t>不适用</t>
        </is>
      </c>
      <c r="L80" t="inlineStr">
        <is>
          <t>待确认</t>
        </is>
      </c>
      <c r="M80" t="inlineStr">
        <is>
          <t>PyLabRobot支持级别：Full；设备类别：物料处理 / 加热振荡器；模型ID：qinstruments_bioshake_5000；URDF完整度：L2。</t>
        </is>
      </c>
      <c r="N80" t="inlineStr">
        <is>
          <t>asset</t>
        </is>
      </c>
      <c r="O80" t="inlineStr">
        <is>
          <t>HW-3 微型平行发酵与生物过程培养</t>
        </is>
      </c>
      <c r="P80" t="inlineStr">
        <is>
          <t>asset:PLR × 模型库覆盖</t>
        </is>
      </c>
      <c r="Q80" t="inlineStr">
        <is>
          <t>pylabrobot_coverage:25</t>
        </is>
      </c>
      <c r="R80" t="inlineStr">
        <is>
          <t>asset</t>
        </is>
      </c>
      <c r="S80" t="inlineStr">
        <is>
          <t>中</t>
        </is>
      </c>
      <c r="T80" t="inlineStr">
        <is>
          <t>来源工作簿 pylabrobot_model_coverage.xlsx / PLR × 模型库覆盖 第25行；模型ID：qinstruments_bioshake_5000；Mesh：0_base.stl；关节：—；缺失要素：moveable joints, inertial, collision。</t>
        </is>
      </c>
      <c r="U80" s="2" t="str">
        <f>=HYPERLINK("http://uni-lab-assets / pylabrobot_models", "uni-lab-assets / pylabrobot_models")</f>
        <v>uni-lab-assets / pylabrobot_models</v>
      </c>
      <c r="V80" s="2" t="str">
        <f>=HYPERLINK("http://北京实验室/pylabrobot_model_coverage.xlsx", "北京实验室/pylabrobot_model_coverage.xlsx")</f>
        <v>北京实验室/pylabrobot_model_coverage.xlsx</v>
      </c>
      <c r="W80" t="inlineStr">
        <is>
          <t>已有uni-lab-assets模型，URDF完整度L2；无需结构化尺寸。Backend可按现有仿真节点模式接入。</t>
        </is>
      </c>
      <c r="X80" t="inlineStr">
        <is>
          <t>微量振荡培养箱与恒温板 / 震荡培养箱</t>
        </is>
      </c>
      <c r="Y80"/>
      <c r="Z80"/>
    </row>
    <row r="81" ht="25.5" customHeight="1">
      <c r="A81" t="inlineStr">
        <is>
          <t>QInstruments BioShake Q1</t>
        </is>
      </c>
      <c r="B81" t="inlineStr">
        <is>
          <t>HW-2 高通量自动化表达与克隆筛选</t>
        </is>
      </c>
      <c r="C81" t="inlineStr">
        <is>
          <t>加热振荡器</t>
        </is>
      </c>
      <c r="D81" t="inlineStr">
        <is>
          <t>QInstruments BioShake Q1</t>
        </is>
      </c>
      <c r="E81"/>
      <c r="F81" t="inlineStr">
        <is>
          <t>asset</t>
        </is>
      </c>
      <c r="G81" t="inlineStr">
        <is>
          <t>URDF可用, Mesh可用</t>
        </is>
      </c>
      <c r="H81" t="inlineStr">
        <is>
          <t>asset</t>
        </is>
      </c>
      <c r="I81" t="inlineStr">
        <is>
          <t>asset</t>
        </is>
      </c>
      <c r="J81" t="inlineStr">
        <is>
          <t>不适用</t>
        </is>
      </c>
      <c r="K81" t="inlineStr">
        <is>
          <t>不适用</t>
        </is>
      </c>
      <c r="L81" t="inlineStr">
        <is>
          <t>待确认</t>
        </is>
      </c>
      <c r="M81" t="inlineStr">
        <is>
          <t>PyLabRobot支持级别：Full；设备类别：物料处理 / 加热振荡器；模型ID：qinstruments_bioshake_q1；URDF完整度：L2。</t>
        </is>
      </c>
      <c r="N81" t="inlineStr">
        <is>
          <t>asset</t>
        </is>
      </c>
      <c r="O81" t="inlineStr">
        <is>
          <t>HW-3 微型平行发酵与生物过程培养</t>
        </is>
      </c>
      <c r="P81" t="inlineStr">
        <is>
          <t>asset:PLR × 模型库覆盖</t>
        </is>
      </c>
      <c r="Q81" t="inlineStr">
        <is>
          <t>pylabrobot_coverage:26</t>
        </is>
      </c>
      <c r="R81" t="inlineStr">
        <is>
          <t>asset</t>
        </is>
      </c>
      <c r="S81" t="inlineStr">
        <is>
          <t>中</t>
        </is>
      </c>
      <c r="T81" t="inlineStr">
        <is>
          <t>来源工作簿 pylabrobot_model_coverage.xlsx / PLR × 模型库覆盖 第26行；模型ID：qinstruments_bioshake_q1；Mesh：0_base.stl；关节：—；缺失要素：moveable joints, inertial, collision。</t>
        </is>
      </c>
      <c r="U81" s="2" t="str">
        <f>=HYPERLINK("http://uni-lab-assets / pylabrobot_models", "uni-lab-assets / pylabrobot_models")</f>
        <v>uni-lab-assets / pylabrobot_models</v>
      </c>
      <c r="V81" s="2" t="str">
        <f>=HYPERLINK("http://北京实验室/pylabrobot_model_coverage.xlsx", "北京实验室/pylabrobot_model_coverage.xlsx")</f>
        <v>北京实验室/pylabrobot_model_coverage.xlsx</v>
      </c>
      <c r="W81" t="inlineStr">
        <is>
          <t>已有uni-lab-assets模型，URDF完整度L2；无需结构化尺寸。Backend可按现有仿真节点模式接入。</t>
        </is>
      </c>
      <c r="X81" t="inlineStr">
        <is>
          <t>微量振荡培养箱与恒温板 / 震荡培养箱</t>
        </is>
      </c>
      <c r="Y81"/>
      <c r="Z81"/>
    </row>
    <row r="82" ht="25.5" customHeight="1">
      <c r="A82" t="inlineStr">
        <is>
          <t>Thermo Fisher Cytomat 2 C_50</t>
        </is>
      </c>
      <c r="B82" t="inlineStr">
        <is>
          <t>HW-2 高通量自动化表达与克隆筛选</t>
        </is>
      </c>
      <c r="C82" t="inlineStr">
        <is>
          <t>存储系统</t>
        </is>
      </c>
      <c r="D82" t="inlineStr">
        <is>
          <t>Thermo Fisher Cytomat 2 C_50</t>
        </is>
      </c>
      <c r="E82" t="inlineStr">
        <is>
          <t>准备中</t>
        </is>
      </c>
      <c r="F82" t="inlineStr">
        <is>
          <t>asset</t>
        </is>
      </c>
      <c r="G82" t="inlineStr">
        <is>
          <t>URDF可用, Mesh可用</t>
        </is>
      </c>
      <c r="H82" t="inlineStr">
        <is>
          <t>asset</t>
        </is>
      </c>
      <c r="I82" t="inlineStr">
        <is>
          <t>asset</t>
        </is>
      </c>
      <c r="J82" t="inlineStr">
        <is>
          <t>不适用</t>
        </is>
      </c>
      <c r="K82" t="inlineStr">
        <is>
          <t>不适用</t>
        </is>
      </c>
      <c r="L82" t="inlineStr">
        <is>
          <t>待确认</t>
        </is>
      </c>
      <c r="M82" t="inlineStr">
        <is>
          <t>PyLabRobot支持级别：Full；设备类别：物料处理 / 存储系统；模型ID：thermo_cytomat2c；URDF完整度：L3 ★。</t>
        </is>
      </c>
      <c r="N82" t="inlineStr">
        <is>
          <t>asset</t>
        </is>
      </c>
      <c r="O82" t="inlineStr">
        <is>
          <t>HW-3 微型平行发酵与生物过程培养</t>
        </is>
      </c>
      <c r="P82" t="inlineStr">
        <is>
          <t>asset:PLR × 模型库覆盖</t>
        </is>
      </c>
      <c r="Q82" t="inlineStr">
        <is>
          <t>pylabrobot_coverage:29</t>
        </is>
      </c>
      <c r="R82" t="inlineStr">
        <is>
          <t>asset</t>
        </is>
      </c>
      <c r="S82" t="inlineStr">
        <is>
          <t>高</t>
        </is>
      </c>
      <c r="T82" t="inlineStr">
        <is>
          <t>来源工作簿 pylabrobot_model_coverage.xlsx / PLR × 模型库覆盖 第29行；模型ID：thermo_cytomat2c；Mesh：0_body.stl (门无mesh)；关节：前门(revolute) 后传输口(prismatic)；缺失要素：inertial, collision, 门mesh缺失。</t>
        </is>
      </c>
      <c r="U82" s="2" t="str">
        <f>=HYPERLINK("http://uni-lab-assets / pylabrobot_models", "uni-lab-assets / pylabrobot_models")</f>
        <v>uni-lab-assets / pylabrobot_models</v>
      </c>
      <c r="V82" s="2" t="str">
        <f>=HYPERLINK("http://北京实验室/pylabrobot_model_coverage.xlsx", "北京实验室/pylabrobot_model_coverage.xlsx")</f>
        <v>北京实验室/pylabrobot_model_coverage.xlsx</v>
      </c>
      <c r="W82" t="inlineStr">
        <is>
          <t>已有uni-lab-assets模型，URDF完整度L3 ★；无需结构化尺寸。Backend可按现有仿真节点模式接入。</t>
        </is>
      </c>
      <c r="X82" t="inlineStr">
        <is>
          <t>堆栈</t>
        </is>
      </c>
      <c r="Y82"/>
      <c r="Z82"/>
    </row>
    <row r="83" ht="25.5" customHeight="1">
      <c r="A83" t="inlineStr">
        <is>
          <t>Thermo / Liconic Heraeus Cytomat</t>
        </is>
      </c>
      <c r="B83" t="inlineStr">
        <is>
          <t>HW-2 高通量自动化表达与克隆筛选</t>
        </is>
      </c>
      <c r="C83" t="inlineStr">
        <is>
          <t>存储系统</t>
        </is>
      </c>
      <c r="D83" t="inlineStr">
        <is>
          <t>Thermo / Liconic Heraeus Cytomat</t>
        </is>
      </c>
      <c r="E83"/>
      <c r="F83" t="inlineStr">
        <is>
          <t>asset</t>
        </is>
      </c>
      <c r="G83" t="inlineStr">
        <is>
          <t>URDF可用, Mesh可用</t>
        </is>
      </c>
      <c r="H83" t="inlineStr">
        <is>
          <t>asset</t>
        </is>
      </c>
      <c r="I83" t="inlineStr">
        <is>
          <t>asset</t>
        </is>
      </c>
      <c r="J83" t="inlineStr">
        <is>
          <t>不适用</t>
        </is>
      </c>
      <c r="K83" t="inlineStr">
        <is>
          <t>不适用</t>
        </is>
      </c>
      <c r="L83" t="inlineStr">
        <is>
          <t>待确认</t>
        </is>
      </c>
      <c r="M83" t="inlineStr">
        <is>
          <t>PyLabRobot支持级别：Full；设备类别：物料处理 / 存储系统；模型ID：liconic_stx110 / stx220 / str44；URDF完整度：L3 ★。</t>
        </is>
      </c>
      <c r="N83" t="inlineStr">
        <is>
          <t>asset</t>
        </is>
      </c>
      <c r="O83" t="inlineStr">
        <is>
          <t>HW-3 微型平行发酵与生物过程培养</t>
        </is>
      </c>
      <c r="P83" t="inlineStr">
        <is>
          <t>asset:PLR × 模型库覆盖</t>
        </is>
      </c>
      <c r="Q83" t="inlineStr">
        <is>
          <t>pylabrobot_coverage:33</t>
        </is>
      </c>
      <c r="R83" t="inlineStr">
        <is>
          <t>asset</t>
        </is>
      </c>
      <c r="S83" t="inlineStr">
        <is>
          <t>高</t>
        </is>
      </c>
      <c r="T83" t="inlineStr">
        <is>
          <t>来源工作簿 pylabrobot_model_coverage.xlsx / PLR × 模型库覆盖 第33行；模型ID：liconic_stx110 / stx220 / str44；Mesh：0_base.stl 0_carousel.stl；关节：转盘旋转(continuous)；缺失要素：inertial, collision。</t>
        </is>
      </c>
      <c r="U83" s="2" t="str">
        <f>=HYPERLINK("http://uni-lab-assets / pylabrobot_models", "uni-lab-assets / pylabrobot_models")</f>
        <v>uni-lab-assets / pylabrobot_models</v>
      </c>
      <c r="V83" s="2" t="str">
        <f>=HYPERLINK("http://北京实验室/pylabrobot_model_coverage.xlsx", "北京实验室/pylabrobot_model_coverage.xlsx")</f>
        <v>北京实验室/pylabrobot_model_coverage.xlsx</v>
      </c>
      <c r="W83" t="inlineStr">
        <is>
          <t>已有uni-lab-assets模型，URDF完整度L3 ★；无需结构化尺寸。Backend可按现有仿真节点模式接入。</t>
        </is>
      </c>
      <c r="X83" t="inlineStr">
        <is>
          <t>堆栈</t>
        </is>
      </c>
      <c r="Y83"/>
      <c r="Z83"/>
    </row>
    <row r="84" ht="25.5" customHeight="1">
      <c r="A84" t="inlineStr">
        <is>
          <t>Inheco Incubator Shaker MTP/DWP</t>
        </is>
      </c>
      <c r="B84" t="inlineStr">
        <is>
          <t>HW-2 高通量自动化表达与克隆筛选</t>
        </is>
      </c>
      <c r="C84" t="inlineStr">
        <is>
          <t>存储系统</t>
        </is>
      </c>
      <c r="D84" t="inlineStr">
        <is>
          <t>Inheco Incubator Shaker MTP/DWP</t>
        </is>
      </c>
      <c r="E84"/>
      <c r="F84" t="inlineStr">
        <is>
          <t>asset</t>
        </is>
      </c>
      <c r="G84" t="inlineStr">
        <is>
          <t>URDF可用, Mesh可用</t>
        </is>
      </c>
      <c r="H84" t="inlineStr">
        <is>
          <t>asset</t>
        </is>
      </c>
      <c r="I84" t="inlineStr">
        <is>
          <t>asset</t>
        </is>
      </c>
      <c r="J84" t="inlineStr">
        <is>
          <t>不适用</t>
        </is>
      </c>
      <c r="K84" t="inlineStr">
        <is>
          <t>不适用</t>
        </is>
      </c>
      <c r="L84" t="inlineStr">
        <is>
          <t>待确认</t>
        </is>
      </c>
      <c r="M84" t="inlineStr">
        <is>
          <t>PyLabRobot支持级别：Mostly；设备类别：物料处理 / 存储系统；模型ID：inheco_shaker_mp；URDF完整度：L2。</t>
        </is>
      </c>
      <c r="N84" t="inlineStr">
        <is>
          <t>asset</t>
        </is>
      </c>
      <c r="O84" t="inlineStr">
        <is>
          <t>HW-3 微型平行发酵与生物过程培养</t>
        </is>
      </c>
      <c r="P84" t="inlineStr">
        <is>
          <t>asset:PLR × 模型库覆盖</t>
        </is>
      </c>
      <c r="Q84" t="inlineStr">
        <is>
          <t>pylabrobot_coverage:34</t>
        </is>
      </c>
      <c r="R84" t="inlineStr">
        <is>
          <t>asset</t>
        </is>
      </c>
      <c r="S84" t="inlineStr">
        <is>
          <t>中</t>
        </is>
      </c>
      <c r="T84" t="inlineStr">
        <is>
          <t>来源工作簿 pylabrobot_model_coverage.xlsx / PLR × 模型库覆盖 第34行；模型ID：inheco_shaker_mp；Mesh：0_base.stl；关节：—；缺失要素：moveable joints, inertial, collision。</t>
        </is>
      </c>
      <c r="U84" s="2" t="str">
        <f>=HYPERLINK("http://uni-lab-assets / pylabrobot_models", "uni-lab-assets / pylabrobot_models")</f>
        <v>uni-lab-assets / pylabrobot_models</v>
      </c>
      <c r="V84" s="2" t="str">
        <f>=HYPERLINK("http://北京实验室/pylabrobot_model_coverage.xlsx", "北京实验室/pylabrobot_model_coverage.xlsx")</f>
        <v>北京实验室/pylabrobot_model_coverage.xlsx</v>
      </c>
      <c r="W84" t="inlineStr">
        <is>
          <t>已有uni-lab-assets模型，URDF完整度L2；无需结构化尺寸。Backend可按现有仿真节点模式接入。</t>
        </is>
      </c>
      <c r="X84" t="inlineStr">
        <is>
          <t>HW-2 其他仪器</t>
        </is>
      </c>
      <c r="Y84"/>
      <c r="Z84"/>
    </row>
    <row r="85" ht="25.5" customHeight="1">
      <c r="A85" t="inlineStr">
        <is>
          <t>Azenta XPeel</t>
        </is>
      </c>
      <c r="B85" t="inlineStr">
        <is>
          <t>HW-2 高通量自动化表达与克隆筛选</t>
        </is>
      </c>
      <c r="C85" t="inlineStr">
        <is>
          <t>揭膜机</t>
        </is>
      </c>
      <c r="D85" t="inlineStr">
        <is>
          <t>Azenta XPeel</t>
        </is>
      </c>
      <c r="E85" t="inlineStr">
        <is>
          <t>准备中</t>
        </is>
      </c>
      <c r="F85" t="inlineStr">
        <is>
          <t>asset</t>
        </is>
      </c>
      <c r="G85" t="inlineStr">
        <is>
          <t>URDF可用, Mesh可用</t>
        </is>
      </c>
      <c r="H85" t="inlineStr">
        <is>
          <t>asset</t>
        </is>
      </c>
      <c r="I85" t="inlineStr">
        <is>
          <t>asset</t>
        </is>
      </c>
      <c r="J85" t="inlineStr">
        <is>
          <t>不适用</t>
        </is>
      </c>
      <c r="K85" t="inlineStr">
        <is>
          <t>不适用</t>
        </is>
      </c>
      <c r="L85" t="inlineStr">
        <is>
          <t>待确认</t>
        </is>
      </c>
      <c r="M85" t="inlineStr">
        <is>
          <t>PyLabRobot支持级别：Full；设备类别：物料处理 / 揭膜机；模型ID：brooks_xpeel；URDF完整度：L2。</t>
        </is>
      </c>
      <c r="N85" t="inlineStr">
        <is>
          <t>asset</t>
        </is>
      </c>
      <c r="O85" t="inlineStr">
        <is>
          <t>HW-2 高通量自动化表达与克隆筛选</t>
        </is>
      </c>
      <c r="P85" t="inlineStr">
        <is>
          <t>asset:PLR × 模型库覆盖</t>
        </is>
      </c>
      <c r="Q85" t="inlineStr">
        <is>
          <t>pylabrobot_coverage:36</t>
        </is>
      </c>
      <c r="R85" t="inlineStr">
        <is>
          <t>asset</t>
        </is>
      </c>
      <c r="S85" t="inlineStr">
        <is>
          <t>中</t>
        </is>
      </c>
      <c r="T85" t="inlineStr">
        <is>
          <t>来源工作簿 pylabrobot_model_coverage.xlsx / PLR × 模型库覆盖 第36行；模型ID：brooks_xpeel；Mesh：brooks_xpeel.stl；关节：—；缺失要素：moveable joints, inertial, collision。</t>
        </is>
      </c>
      <c r="U85" s="2" t="str">
        <f>=HYPERLINK("http://uni-lab-assets / pylabrobot_models", "uni-lab-assets / pylabrobot_models")</f>
        <v>uni-lab-assets / pylabrobot_models</v>
      </c>
      <c r="V85" s="2" t="str">
        <f>=HYPERLINK("http://北京实验室/pylabrobot_model_coverage.xlsx", "北京实验室/pylabrobot_model_coverage.xlsx")</f>
        <v>北京实验室/pylabrobot_model_coverage.xlsx</v>
      </c>
      <c r="W85" t="inlineStr">
        <is>
          <t>已有uni-lab-assets模型，URDF完整度L2；无需结构化尺寸。Backend可按现有仿真节点模式接入。</t>
        </is>
      </c>
      <c r="X85" t="inlineStr">
        <is>
          <t>撕膜机</t>
        </is>
      </c>
      <c r="Y85"/>
      <c r="Z85"/>
    </row>
    <row r="86" ht="25.5" customHeight="1">
      <c r="A86" t="inlineStr">
        <is>
          <t>Azenta a4S</t>
        </is>
      </c>
      <c r="B86" t="inlineStr">
        <is>
          <t>HW-2 高通量自动化表达与克隆筛选</t>
        </is>
      </c>
      <c r="C86" t="inlineStr">
        <is>
          <t>封膜机</t>
        </is>
      </c>
      <c r="D86" t="inlineStr">
        <is>
          <t>Azenta a4S</t>
        </is>
      </c>
      <c r="E86" t="inlineStr">
        <is>
          <t>准备中</t>
        </is>
      </c>
      <c r="F86" t="inlineStr">
        <is>
          <t>asset</t>
        </is>
      </c>
      <c r="G86" t="inlineStr">
        <is>
          <t>URDF可用, Mesh可用</t>
        </is>
      </c>
      <c r="H86" t="inlineStr">
        <is>
          <t>asset</t>
        </is>
      </c>
      <c r="I86" t="inlineStr">
        <is>
          <t>asset</t>
        </is>
      </c>
      <c r="J86" t="inlineStr">
        <is>
          <t>不适用</t>
        </is>
      </c>
      <c r="K86" t="inlineStr">
        <is>
          <t>不适用</t>
        </is>
      </c>
      <c r="L86" t="inlineStr">
        <is>
          <t>待确认</t>
        </is>
      </c>
      <c r="M86" t="inlineStr">
        <is>
          <t>PyLabRobot支持级别：Full；设备类别：物料处理 / 封膜机；模型ID：brooks_a4ssealer；URDF完整度：L2。</t>
        </is>
      </c>
      <c r="N86" t="inlineStr">
        <is>
          <t>asset</t>
        </is>
      </c>
      <c r="O86" t="inlineStr">
        <is>
          <t>HW-2 高通量自动化表达与克隆筛选</t>
        </is>
      </c>
      <c r="P86" t="inlineStr">
        <is>
          <t>asset:PLR × 模型库覆盖</t>
        </is>
      </c>
      <c r="Q86" t="inlineStr">
        <is>
          <t>pylabrobot_coverage:37</t>
        </is>
      </c>
      <c r="R86" t="inlineStr">
        <is>
          <t>asset</t>
        </is>
      </c>
      <c r="S86" t="inlineStr">
        <is>
          <t>中</t>
        </is>
      </c>
      <c r="T86" t="inlineStr">
        <is>
          <t>来源工作簿 pylabrobot_model_coverage.xlsx / PLR × 模型库覆盖 第37行；模型ID：brooks_a4ssealer；Mesh：brooks_a4s_sealer.stl；关节：—；缺失要素：moveable joints, inertial, collision。</t>
        </is>
      </c>
      <c r="U86" s="2" t="str">
        <f>=HYPERLINK("http://uni-lab-assets / pylabrobot_models", "uni-lab-assets / pylabrobot_models")</f>
        <v>uni-lab-assets / pylabrobot_models</v>
      </c>
      <c r="V86" s="2" t="str">
        <f>=HYPERLINK("http://北京实验室/pylabrobot_model_coverage.xlsx", "北京实验室/pylabrobot_model_coverage.xlsx")</f>
        <v>北京实验室/pylabrobot_model_coverage.xlsx</v>
      </c>
      <c r="W86" t="inlineStr">
        <is>
          <t>已有uni-lab-assets模型，URDF完整度L2；无需结构化尺寸。Backend可按现有仿真节点模式接入。</t>
        </is>
      </c>
      <c r="X86" t="inlineStr">
        <is>
          <t>封膜机</t>
        </is>
      </c>
      <c r="Y86"/>
      <c r="Z86"/>
    </row>
    <row r="87" ht="25.5" customHeight="1">
      <c r="A87" t="inlineStr">
        <is>
          <t>Opentrons Thermocycler</t>
        </is>
      </c>
      <c r="B87" t="inlineStr">
        <is>
          <t>HW-2 高通量自动化表达与克隆筛选</t>
        </is>
      </c>
      <c r="C87" t="inlineStr">
        <is>
          <t>热循环仪</t>
        </is>
      </c>
      <c r="D87" t="inlineStr">
        <is>
          <t>Opentrons Thermocycler</t>
        </is>
      </c>
      <c r="E87"/>
      <c r="F87" t="inlineStr">
        <is>
          <t>asset</t>
        </is>
      </c>
      <c r="G87" t="inlineStr">
        <is>
          <t>URDF可用, Mesh可用</t>
        </is>
      </c>
      <c r="H87" t="inlineStr">
        <is>
          <t>asset</t>
        </is>
      </c>
      <c r="I87" t="inlineStr">
        <is>
          <t>asset</t>
        </is>
      </c>
      <c r="J87" t="inlineStr">
        <is>
          <t>不适用</t>
        </is>
      </c>
      <c r="K87" t="inlineStr">
        <is>
          <t>不适用</t>
        </is>
      </c>
      <c r="L87" t="inlineStr">
        <is>
          <t>待确认</t>
        </is>
      </c>
      <c r="M87" t="inlineStr">
        <is>
          <t>PyLabRobot支持级别：Full；设备类别：物料处理 / 热循环仪；模型ID：opentrons_thermocycler_module；URDF完整度：L1。</t>
        </is>
      </c>
      <c r="N87" t="inlineStr">
        <is>
          <t>asset</t>
        </is>
      </c>
      <c r="O87" t="inlineStr">
        <is>
          <t>HW-3 微型平行发酵与生物过程培养</t>
        </is>
      </c>
      <c r="P87" t="inlineStr">
        <is>
          <t>asset:PLR × 模型库覆盖</t>
        </is>
      </c>
      <c r="Q87" t="inlineStr">
        <is>
          <t>pylabrobot_coverage:38</t>
        </is>
      </c>
      <c r="R87" t="inlineStr">
        <is>
          <t>asset</t>
        </is>
      </c>
      <c r="S87" t="inlineStr">
        <is>
          <t>中</t>
        </is>
      </c>
      <c r="T87" t="inlineStr">
        <is>
          <t>来源工作簿 pylabrobot_model_coverage.xlsx / PLR × 模型库覆盖 第38行；模型ID：opentrons_thermocycler_module；Mesh：0_base.stl；关节：—；缺失要素：joints, inertial, collision。</t>
        </is>
      </c>
      <c r="U87" s="2" t="str">
        <f>=HYPERLINK("http://uni-lab-assets / pylabrobot_models", "uni-lab-assets / pylabrobot_models")</f>
        <v>uni-lab-assets / pylabrobot_models</v>
      </c>
      <c r="V87" s="2" t="str">
        <f>=HYPERLINK("http://北京实验室/pylabrobot_model_coverage.xlsx", "北京实验室/pylabrobot_model_coverage.xlsx")</f>
        <v>北京实验室/pylabrobot_model_coverage.xlsx</v>
      </c>
      <c r="W87" t="inlineStr">
        <is>
          <t>已有uni-lab-assets模型，URDF完整度L1；无需结构化尺寸。Backend可按现有仿真节点模式接入。</t>
        </is>
      </c>
      <c r="X87" t="inlineStr">
        <is>
          <t>PCR仪</t>
        </is>
      </c>
      <c r="Y87"/>
      <c r="Z87"/>
    </row>
    <row r="88" ht="25.5" customHeight="1">
      <c r="A88" t="inlineStr">
        <is>
          <t>Thermo Fisher ATC</t>
        </is>
      </c>
      <c r="B88" t="inlineStr">
        <is>
          <t>HW-2 高通量自动化表达与克隆筛选</t>
        </is>
      </c>
      <c r="C88" t="inlineStr">
        <is>
          <t>热循环仪</t>
        </is>
      </c>
      <c r="D88" t="inlineStr">
        <is>
          <t>Thermo Fisher ATC</t>
        </is>
      </c>
      <c r="E88" t="inlineStr">
        <is>
          <t>准备中</t>
        </is>
      </c>
      <c r="F88" t="inlineStr">
        <is>
          <t>asset</t>
        </is>
      </c>
      <c r="G88" t="inlineStr">
        <is>
          <t>URDF可用, Mesh可用</t>
        </is>
      </c>
      <c r="H88" t="inlineStr">
        <is>
          <t>asset</t>
        </is>
      </c>
      <c r="I88" t="inlineStr">
        <is>
          <t>asset</t>
        </is>
      </c>
      <c r="J88" t="inlineStr">
        <is>
          <t>不适用</t>
        </is>
      </c>
      <c r="K88" t="inlineStr">
        <is>
          <t>不适用</t>
        </is>
      </c>
      <c r="L88" t="inlineStr">
        <is>
          <t>待确认</t>
        </is>
      </c>
      <c r="M88" t="inlineStr">
        <is>
          <t>PyLabRobot支持级别：Full；设备类别：物料处理 / 热循环仪；模型ID：thermo_atc；URDF完整度：L3 ★。</t>
        </is>
      </c>
      <c r="N88" t="inlineStr">
        <is>
          <t>asset</t>
        </is>
      </c>
      <c r="O88" t="inlineStr">
        <is>
          <t>HW-2 高通量自动化表达与克隆筛选</t>
        </is>
      </c>
      <c r="P88" t="inlineStr">
        <is>
          <t>asset:PLR × 模型库覆盖</t>
        </is>
      </c>
      <c r="Q88" t="inlineStr">
        <is>
          <t>pylabrobot_coverage:39</t>
        </is>
      </c>
      <c r="R88" t="inlineStr">
        <is>
          <t>asset</t>
        </is>
      </c>
      <c r="S88" t="inlineStr">
        <is>
          <t>高</t>
        </is>
      </c>
      <c r="T88" t="inlineStr">
        <is>
          <t>来源工作簿 pylabrobot_model_coverage.xlsx / PLR × 模型库覆盖 第39行；模型ID：thermo_atc；Mesh：0_base.stl 1_door.stl；关节：上盖(prismatic)；缺失要素：inertial, collision。</t>
        </is>
      </c>
      <c r="U88" s="2" t="str">
        <f>=HYPERLINK("http://uni-lab-assets / pylabrobot_models", "uni-lab-assets / pylabrobot_models")</f>
        <v>uni-lab-assets / pylabrobot_models</v>
      </c>
      <c r="V88" s="2" t="str">
        <f>=HYPERLINK("http://北京实验室/pylabrobot_model_coverage.xlsx", "北京实验室/pylabrobot_model_coverage.xlsx")</f>
        <v>北京实验室/pylabrobot_model_coverage.xlsx</v>
      </c>
      <c r="W88" t="inlineStr">
        <is>
          <t>已有uni-lab-assets模型，URDF完整度L3 ★；无需结构化尺寸。Backend可按现有仿真节点模式接入。</t>
        </is>
      </c>
      <c r="X88" t="inlineStr">
        <is>
          <t>PCR仪</t>
        </is>
      </c>
      <c r="Y88"/>
      <c r="Z88"/>
    </row>
    <row r="89" ht="25.5" customHeight="1">
      <c r="A89" t="inlineStr">
        <is>
          <t>Inheco ODTC</t>
        </is>
      </c>
      <c r="B89" t="inlineStr">
        <is>
          <t>HW-2 高通量自动化表达与克隆筛选</t>
        </is>
      </c>
      <c r="C89" t="inlineStr">
        <is>
          <t>热循环仪</t>
        </is>
      </c>
      <c r="D89" t="inlineStr">
        <is>
          <t>Inheco ODTC</t>
        </is>
      </c>
      <c r="E89"/>
      <c r="F89" t="inlineStr">
        <is>
          <t>asset</t>
        </is>
      </c>
      <c r="G89" t="inlineStr">
        <is>
          <t>URDF可用, Mesh可用</t>
        </is>
      </c>
      <c r="H89" t="inlineStr">
        <is>
          <t>asset</t>
        </is>
      </c>
      <c r="I89" t="inlineStr">
        <is>
          <t>asset</t>
        </is>
      </c>
      <c r="J89" t="inlineStr">
        <is>
          <t>不适用</t>
        </is>
      </c>
      <c r="K89" t="inlineStr">
        <is>
          <t>不适用</t>
        </is>
      </c>
      <c r="L89" t="inlineStr">
        <is>
          <t>待确认</t>
        </is>
      </c>
      <c r="M89" t="inlineStr">
        <is>
          <t>PyLabRobot支持级别：WIP；设备类别：物料处理 / 热循环仪；模型ID：inheco_odtc_96lc / 96xl / 384；URDF完整度：L2。</t>
        </is>
      </c>
      <c r="N89" t="inlineStr">
        <is>
          <t>asset</t>
        </is>
      </c>
      <c r="O89" t="inlineStr">
        <is>
          <t>HW-3 微型平行发酵与生物过程培养</t>
        </is>
      </c>
      <c r="P89" t="inlineStr">
        <is>
          <t>asset:PLR × 模型库覆盖</t>
        </is>
      </c>
      <c r="Q89" t="inlineStr">
        <is>
          <t>pylabrobot_coverage:41</t>
        </is>
      </c>
      <c r="R89" t="inlineStr">
        <is>
          <t>asset</t>
        </is>
      </c>
      <c r="S89" t="inlineStr">
        <is>
          <t>中</t>
        </is>
      </c>
      <c r="T89" t="inlineStr">
        <is>
          <t>来源工作簿 pylabrobot_model_coverage.xlsx / PLR × 模型库覆盖 第41行；模型ID：inheco_odtc_96lc / 96xl / 384；Mesh：0_base.stl；关节：—；缺失要素：moveable joints, inertial, collision。</t>
        </is>
      </c>
      <c r="U89" s="2" t="str">
        <f>=HYPERLINK("http://uni-lab-assets / pylabrobot_models", "uni-lab-assets / pylabrobot_models")</f>
        <v>uni-lab-assets / pylabrobot_models</v>
      </c>
      <c r="V89" s="2" t="str">
        <f>=HYPERLINK("http://北京实验室/pylabrobot_model_coverage.xlsx", "北京实验室/pylabrobot_model_coverage.xlsx")</f>
        <v>北京实验室/pylabrobot_model_coverage.xlsx</v>
      </c>
      <c r="W89" t="inlineStr">
        <is>
          <t>已有uni-lab-assets模型，URDF完整度L2；无需结构化尺寸。Backend可按现有仿真节点模式接入。</t>
        </is>
      </c>
      <c r="X89" t="inlineStr">
        <is>
          <t>PCR仪</t>
        </is>
      </c>
      <c r="Y89"/>
      <c r="Z89"/>
    </row>
    <row r="90" ht="25.5" customHeight="1">
      <c r="A90" t="inlineStr">
        <is>
          <t>Opentrons Temperature Module</t>
        </is>
      </c>
      <c r="B90" t="inlineStr">
        <is>
          <t>HW-2 高通量自动化表达与克隆筛选</t>
        </is>
      </c>
      <c r="C90" t="inlineStr">
        <is>
          <t>温度控制器</t>
        </is>
      </c>
      <c r="D90" t="inlineStr">
        <is>
          <t>Opentrons Temperature Module</t>
        </is>
      </c>
      <c r="E90"/>
      <c r="F90" t="inlineStr">
        <is>
          <t>asset</t>
        </is>
      </c>
      <c r="G90" t="inlineStr">
        <is>
          <t>URDF可用, Mesh可用</t>
        </is>
      </c>
      <c r="H90" t="inlineStr">
        <is>
          <t>asset</t>
        </is>
      </c>
      <c r="I90" t="inlineStr">
        <is>
          <t>asset</t>
        </is>
      </c>
      <c r="J90" t="inlineStr">
        <is>
          <t>不适用</t>
        </is>
      </c>
      <c r="K90" t="inlineStr">
        <is>
          <t>不适用</t>
        </is>
      </c>
      <c r="L90" t="inlineStr">
        <is>
          <t>待确认</t>
        </is>
      </c>
      <c r="M90" t="inlineStr">
        <is>
          <t>PyLabRobot支持级别：Mostly；设备类别：物料处理 / 温度控制器；模型ID：opentrons_temperature_module；URDF完整度：L2。</t>
        </is>
      </c>
      <c r="N90" t="inlineStr">
        <is>
          <t>asset</t>
        </is>
      </c>
      <c r="O90" t="inlineStr">
        <is>
          <t>HW-3 微型平行发酵与生物过程培养</t>
        </is>
      </c>
      <c r="P90" t="inlineStr">
        <is>
          <t>asset:PLR × 模型库覆盖</t>
        </is>
      </c>
      <c r="Q90" t="inlineStr">
        <is>
          <t>pylabrobot_coverage:42</t>
        </is>
      </c>
      <c r="R90" t="inlineStr">
        <is>
          <t>asset</t>
        </is>
      </c>
      <c r="S90" t="inlineStr">
        <is>
          <t>中</t>
        </is>
      </c>
      <c r="T90" t="inlineStr">
        <is>
          <t>来源工作簿 pylabrobot_model_coverage.xlsx / PLR × 模型库覆盖 第42行；模型ID：opentrons_temperature_module；Mesh：0_base.stl；关节：—；缺失要素：moveable joints, inertial, collision。</t>
        </is>
      </c>
      <c r="U90" s="2" t="str">
        <f>=HYPERLINK("http://uni-lab-assets / pylabrobot_models", "uni-lab-assets / pylabrobot_models")</f>
        <v>uni-lab-assets / pylabrobot_models</v>
      </c>
      <c r="V90" s="2" t="str">
        <f>=HYPERLINK("http://北京实验室/pylabrobot_model_coverage.xlsx", "北京实验室/pylabrobot_model_coverage.xlsx")</f>
        <v>北京实验室/pylabrobot_model_coverage.xlsx</v>
      </c>
      <c r="W90" t="inlineStr">
        <is>
          <t>已有uni-lab-assets模型，URDF完整度L2；无需结构化尺寸。Backend可按现有仿真节点模式接入。</t>
        </is>
      </c>
      <c r="X90" t="inlineStr">
        <is>
          <t>温控设备/温控模块</t>
        </is>
      </c>
      <c r="Y90"/>
      <c r="Z90"/>
    </row>
    <row r="91" ht="25.5" customHeight="1">
      <c r="A91" t="inlineStr">
        <is>
          <t>Inheco CPAC</t>
        </is>
      </c>
      <c r="B91" t="inlineStr">
        <is>
          <t>HW-2 高通量自动化表达与克隆筛选</t>
        </is>
      </c>
      <c r="C91" t="inlineStr">
        <is>
          <t>温度控制器</t>
        </is>
      </c>
      <c r="D91" t="inlineStr">
        <is>
          <t>Inheco CPAC</t>
        </is>
      </c>
      <c r="E91"/>
      <c r="F91" t="inlineStr">
        <is>
          <t>asset</t>
        </is>
      </c>
      <c r="G91" t="inlineStr">
        <is>
          <t>URDF可用, Mesh可用</t>
        </is>
      </c>
      <c r="H91" t="inlineStr">
        <is>
          <t>asset</t>
        </is>
      </c>
      <c r="I91" t="inlineStr">
        <is>
          <t>asset</t>
        </is>
      </c>
      <c r="J91" t="inlineStr">
        <is>
          <t>不适用</t>
        </is>
      </c>
      <c r="K91" t="inlineStr">
        <is>
          <t>不适用</t>
        </is>
      </c>
      <c r="L91" t="inlineStr">
        <is>
          <t>待确认</t>
        </is>
      </c>
      <c r="M91" t="inlineStr">
        <is>
          <t>PyLabRobot支持级别：Full；设备类别：物料处理 / 温度控制器；模型ID：inheco_cpac_ultraflat_ht_2_tec；URDF完整度：L2。</t>
        </is>
      </c>
      <c r="N91" t="inlineStr">
        <is>
          <t>asset</t>
        </is>
      </c>
      <c r="O91" t="inlineStr">
        <is>
          <t>HW-3 微型平行发酵与生物过程培养</t>
        </is>
      </c>
      <c r="P91" t="inlineStr">
        <is>
          <t>asset:PLR × 模型库覆盖</t>
        </is>
      </c>
      <c r="Q91" t="inlineStr">
        <is>
          <t>pylabrobot_coverage:43</t>
        </is>
      </c>
      <c r="R91" t="inlineStr">
        <is>
          <t>asset</t>
        </is>
      </c>
      <c r="S91" t="inlineStr">
        <is>
          <t>中</t>
        </is>
      </c>
      <c r="T91" t="inlineStr">
        <is>
          <t>来源工作簿 pylabrobot_model_coverage.xlsx / PLR × 模型库覆盖 第43行；模型ID：inheco_cpac_ultraflat_ht_2_tec；Mesh：0_base.stl；关节：—；缺失要素：moveable joints, inertial, collision。</t>
        </is>
      </c>
      <c r="U91" s="2" t="str">
        <f>=HYPERLINK("http://uni-lab-assets / pylabrobot_models", "uni-lab-assets / pylabrobot_models")</f>
        <v>uni-lab-assets / pylabrobot_models</v>
      </c>
      <c r="V91" s="2" t="str">
        <f>=HYPERLINK("http://北京实验室/pylabrobot_model_coverage.xlsx", "北京实验室/pylabrobot_model_coverage.xlsx")</f>
        <v>北京实验室/pylabrobot_model_coverage.xlsx</v>
      </c>
      <c r="W91" t="inlineStr">
        <is>
          <t>已有uni-lab-assets模型，URDF完整度L2；无需结构化尺寸。Backend可按现有仿真节点模式接入。</t>
        </is>
      </c>
      <c r="X91" t="inlineStr">
        <is>
          <t>温控设备/温控模块</t>
        </is>
      </c>
      <c r="Y91"/>
      <c r="Z91"/>
    </row>
    <row r="92" ht="25.5" customHeight="1">
      <c r="A92" t="inlineStr">
        <is>
          <t>Agilent (BioTek) Cytation 1</t>
        </is>
      </c>
      <c r="B92" t="inlineStr">
        <is>
          <t>HW-4 发酵过程在线监测与蛋白稳定性表征</t>
        </is>
      </c>
      <c r="C92" t="inlineStr">
        <is>
          <t>酶标仪</t>
        </is>
      </c>
      <c r="D92" t="inlineStr">
        <is>
          <t>Agilent (BioTek) Cytation 1</t>
        </is>
      </c>
      <c r="E92"/>
      <c r="F92" t="inlineStr">
        <is>
          <t>asset</t>
        </is>
      </c>
      <c r="G92" t="inlineStr">
        <is>
          <t>URDF可用, Mesh可用</t>
        </is>
      </c>
      <c r="H92" t="inlineStr">
        <is>
          <t>asset</t>
        </is>
      </c>
      <c r="I92" t="inlineStr">
        <is>
          <t>asset</t>
        </is>
      </c>
      <c r="J92" t="inlineStr">
        <is>
          <t>不适用</t>
        </is>
      </c>
      <c r="K92" t="inlineStr">
        <is>
          <t>不适用</t>
        </is>
      </c>
      <c r="L92" t="inlineStr">
        <is>
          <t>待确认</t>
        </is>
      </c>
      <c r="M92" t="inlineStr">
        <is>
          <t>PyLabRobot支持级别：Full；设备类别：分析设备 / 酶标仪；模型ID：biotek_cytation；URDF完整度：L3 ★。</t>
        </is>
      </c>
      <c r="N92" t="inlineStr">
        <is>
          <t>asset</t>
        </is>
      </c>
      <c r="O92" t="inlineStr">
        <is>
          <t>HW-4 发酵过程在线监测与蛋白稳定性表征</t>
        </is>
      </c>
      <c r="P92" t="inlineStr">
        <is>
          <t>asset:PLR × 模型库覆盖</t>
        </is>
      </c>
      <c r="Q92" t="inlineStr">
        <is>
          <t>pylabrobot_coverage:47</t>
        </is>
      </c>
      <c r="R92" t="inlineStr">
        <is>
          <t>asset</t>
        </is>
      </c>
      <c r="S92" t="inlineStr">
        <is>
          <t>高</t>
        </is>
      </c>
      <c r="T92" t="inlineStr">
        <is>
          <t>来源工作簿 pylabrobot_model_coverage.xlsx / PLR × 模型库覆盖 第47行；模型ID：biotek_cytation；Mesh：0_chassis.stl 1_tray.stl 1_door.stl；关节：托板(prismatic) 前门(revolute)；缺失要素：inertial, collision。</t>
        </is>
      </c>
      <c r="U92" s="2" t="str">
        <f>=HYPERLINK("http://uni-lab-assets / pylabrobot_models", "uni-lab-assets / pylabrobot_models")</f>
        <v>uni-lab-assets / pylabrobot_models</v>
      </c>
      <c r="V92" s="2" t="str">
        <f>=HYPERLINK("http://北京实验室/pylabrobot_model_coverage.xlsx", "北京实验室/pylabrobot_model_coverage.xlsx")</f>
        <v>北京实验室/pylabrobot_model_coverage.xlsx</v>
      </c>
      <c r="W92" t="inlineStr">
        <is>
          <t>已有uni-lab-assets模型，URDF完整度L3 ★；无需结构化尺寸。Backend可按现有仿真节点模式接入。</t>
        </is>
      </c>
      <c r="X92" t="inlineStr">
        <is>
          <t>多功能微孔板读板仪 / 酶标仪</t>
        </is>
      </c>
      <c r="Y92"/>
      <c r="Z92"/>
    </row>
    <row r="93" ht="25.5" customHeight="1">
      <c r="A93" t="inlineStr">
        <is>
          <t>Agilent (BioTek) Cytation 5</t>
        </is>
      </c>
      <c r="B93" t="inlineStr">
        <is>
          <t>HW-4 发酵过程在线监测与蛋白稳定性表征</t>
        </is>
      </c>
      <c r="C93" t="inlineStr">
        <is>
          <t>酶标仪</t>
        </is>
      </c>
      <c r="D93" t="inlineStr">
        <is>
          <t>Agilent (BioTek) Cytation 5</t>
        </is>
      </c>
      <c r="E93"/>
      <c r="F93" t="inlineStr">
        <is>
          <t>asset</t>
        </is>
      </c>
      <c r="G93" t="inlineStr">
        <is>
          <t>URDF可用, Mesh可用</t>
        </is>
      </c>
      <c r="H93" t="inlineStr">
        <is>
          <t>asset</t>
        </is>
      </c>
      <c r="I93" t="inlineStr">
        <is>
          <t>asset</t>
        </is>
      </c>
      <c r="J93" t="inlineStr">
        <is>
          <t>不适用</t>
        </is>
      </c>
      <c r="K93" t="inlineStr">
        <is>
          <t>不适用</t>
        </is>
      </c>
      <c r="L93" t="inlineStr">
        <is>
          <t>待确认</t>
        </is>
      </c>
      <c r="M93" t="inlineStr">
        <is>
          <t>PyLabRobot支持级别：Full；设备类别：分析设备 / 酶标仪；模型ID：biotek_cytation；URDF完整度：L3 ★。</t>
        </is>
      </c>
      <c r="N93" t="inlineStr">
        <is>
          <t>asset</t>
        </is>
      </c>
      <c r="O93" t="inlineStr">
        <is>
          <t>HW-4 发酵过程在线监测与蛋白稳定性表征</t>
        </is>
      </c>
      <c r="P93" t="inlineStr">
        <is>
          <t>asset:PLR × 模型库覆盖</t>
        </is>
      </c>
      <c r="Q93" t="inlineStr">
        <is>
          <t>pylabrobot_coverage:48</t>
        </is>
      </c>
      <c r="R93" t="inlineStr">
        <is>
          <t>asset</t>
        </is>
      </c>
      <c r="S93" t="inlineStr">
        <is>
          <t>高</t>
        </is>
      </c>
      <c r="T93" t="inlineStr">
        <is>
          <t>来源工作簿 pylabrobot_model_coverage.xlsx / PLR × 模型库覆盖 第48行；模型ID：biotek_cytation；Mesh：0_chassis.stl 1_tray.stl 1_door.stl；关节：托板(prismatic) 前门(revolute)；缺失要素：inertial, collision。</t>
        </is>
      </c>
      <c r="U93" s="2" t="str">
        <f>=HYPERLINK("http://uni-lab-assets / pylabrobot_models", "uni-lab-assets / pylabrobot_models")</f>
        <v>uni-lab-assets / pylabrobot_models</v>
      </c>
      <c r="V93" s="2" t="str">
        <f>=HYPERLINK("http://北京实验室/pylabrobot_model_coverage.xlsx", "北京实验室/pylabrobot_model_coverage.xlsx")</f>
        <v>北京实验室/pylabrobot_model_coverage.xlsx</v>
      </c>
      <c r="W93" t="inlineStr">
        <is>
          <t>已有uni-lab-assets模型，URDF完整度L3 ★；无需结构化尺寸。Backend可按现有仿真节点模式接入。</t>
        </is>
      </c>
      <c r="X93" t="inlineStr">
        <is>
          <t>多功能微孔板读板仪 / 酶标仪</t>
        </is>
      </c>
      <c r="Y93"/>
      <c r="Z93"/>
    </row>
    <row r="94" ht="25.5" customHeight="1">
      <c r="A94" t="inlineStr">
        <is>
          <t>Agilent (BioTek) Synergy H1</t>
        </is>
      </c>
      <c r="B94" t="inlineStr">
        <is>
          <t>HW-4 发酵过程在线监测与蛋白稳定性表征</t>
        </is>
      </c>
      <c r="C94" t="inlineStr">
        <is>
          <t>酶标仪</t>
        </is>
      </c>
      <c r="D94" t="inlineStr">
        <is>
          <t>Agilent (BioTek) Synergy H1</t>
        </is>
      </c>
      <c r="E94"/>
      <c r="F94" t="inlineStr">
        <is>
          <t>asset</t>
        </is>
      </c>
      <c r="G94" t="inlineStr">
        <is>
          <t>URDF可用, Mesh可用</t>
        </is>
      </c>
      <c r="H94" t="inlineStr">
        <is>
          <t>asset</t>
        </is>
      </c>
      <c r="I94" t="inlineStr">
        <is>
          <t>asset</t>
        </is>
      </c>
      <c r="J94" t="inlineStr">
        <is>
          <t>不适用</t>
        </is>
      </c>
      <c r="K94" t="inlineStr">
        <is>
          <t>不适用</t>
        </is>
      </c>
      <c r="L94" t="inlineStr">
        <is>
          <t>待确认</t>
        </is>
      </c>
      <c r="M94" t="inlineStr">
        <is>
          <t>PyLabRobot支持级别：Full；设备类别：分析设备 / 酶标仪；模型ID：biotek_synergy_h1；URDF完整度：L3 ★。</t>
        </is>
      </c>
      <c r="N94" t="inlineStr">
        <is>
          <t>asset</t>
        </is>
      </c>
      <c r="O94" t="inlineStr">
        <is>
          <t>HW-4 发酵过程在线监测与蛋白稳定性表征</t>
        </is>
      </c>
      <c r="P94" t="inlineStr">
        <is>
          <t>asset:PLR × 模型库覆盖</t>
        </is>
      </c>
      <c r="Q94" t="inlineStr">
        <is>
          <t>pylabrobot_coverage:49</t>
        </is>
      </c>
      <c r="R94" t="inlineStr">
        <is>
          <t>asset</t>
        </is>
      </c>
      <c r="S94" t="inlineStr">
        <is>
          <t>高</t>
        </is>
      </c>
      <c r="T94" t="inlineStr">
        <is>
          <t>来源工作簿 pylabrobot_model_coverage.xlsx / PLR × 模型库覆盖 第49行；模型ID：biotek_synergy_h1；Mesh：0_base.stl 1_tray.stl 1_door.stl；关节：托板(prismatic) 前门(revolute)；缺失要素：inertial, collision。</t>
        </is>
      </c>
      <c r="U94" s="2" t="str">
        <f>=HYPERLINK("http://uni-lab-assets / pylabrobot_models", "uni-lab-assets / pylabrobot_models")</f>
        <v>uni-lab-assets / pylabrobot_models</v>
      </c>
      <c r="V94" s="2" t="str">
        <f>=HYPERLINK("http://北京实验室/pylabrobot_model_coverage.xlsx", "北京实验室/pylabrobot_model_coverage.xlsx")</f>
        <v>北京实验室/pylabrobot_model_coverage.xlsx</v>
      </c>
      <c r="W94" t="inlineStr">
        <is>
          <t>已有uni-lab-assets模型，URDF完整度L3 ★；无需结构化尺寸。Backend可按现有仿真节点模式接入。</t>
        </is>
      </c>
      <c r="X94" t="inlineStr">
        <is>
          <t>多功能微孔板读板仪 / 酶标仪</t>
        </is>
      </c>
      <c r="Y94"/>
      <c r="Z94"/>
    </row>
    <row r="95" ht="25.5" customHeight="1">
      <c r="A95" t="inlineStr">
        <is>
          <t>Molecular Devices SpectraMax M5e</t>
        </is>
      </c>
      <c r="B95" t="inlineStr">
        <is>
          <t>HW-4 发酵过程在线监测与蛋白稳定性表征</t>
        </is>
      </c>
      <c r="C95" t="inlineStr">
        <is>
          <t>酶标仪</t>
        </is>
      </c>
      <c r="D95" t="inlineStr">
        <is>
          <t>Molecular Devices SpectraMax M5e</t>
        </is>
      </c>
      <c r="E95" t="inlineStr">
        <is>
          <t>存在近似asset</t>
        </is>
      </c>
      <c r="F95" t="inlineStr">
        <is>
          <t>asset</t>
        </is>
      </c>
      <c r="G95" t="inlineStr">
        <is>
          <t>URDF可用, Mesh可用</t>
        </is>
      </c>
      <c r="H95" t="inlineStr">
        <is>
          <t>asset</t>
        </is>
      </c>
      <c r="I95" t="inlineStr">
        <is>
          <t>asset</t>
        </is>
      </c>
      <c r="J95" t="inlineStr">
        <is>
          <t>不适用</t>
        </is>
      </c>
      <c r="K95" t="inlineStr">
        <is>
          <t>不适用</t>
        </is>
      </c>
      <c r="L95" t="inlineStr">
        <is>
          <t>待确认</t>
        </is>
      </c>
      <c r="M95" t="inlineStr">
        <is>
          <t>PyLabRobot支持级别：Full；设备类别：分析设备 / 酶标仪；模型ID：molecular_devices_spectramax_abs；URDF完整度：L2。</t>
        </is>
      </c>
      <c r="N95" t="inlineStr">
        <is>
          <t>作为近似asset参考于：Molecular Devices SpectraMax iD5 / iD5e（recvoR2BQechkm）；非精确型号，保留独立asset记录。</t>
        </is>
      </c>
      <c r="O95" t="inlineStr">
        <is>
          <t>HW-4 发酵过程在线监测与蛋白稳定性表征</t>
        </is>
      </c>
      <c r="P95" t="inlineStr">
        <is>
          <t>asset:PLR × 模型库覆盖</t>
        </is>
      </c>
      <c r="Q95" t="inlineStr">
        <is>
          <t>pylabrobot_coverage:53</t>
        </is>
      </c>
      <c r="R95" t="inlineStr">
        <is>
          <t>asset</t>
        </is>
      </c>
      <c r="S95" t="inlineStr">
        <is>
          <t>中</t>
        </is>
      </c>
      <c r="T95" t="inlineStr">
        <is>
          <t>来源工作簿 pylabrobot_model_coverage.xlsx / PLR × 模型库覆盖 第53行；模型ID：molecular_devices_spectramax_abs；Mesh：0_base.stl；关节：—；缺失要素：moveable joints, inertial, collision。</t>
        </is>
      </c>
      <c r="U95" s="2" t="str">
        <f>=HYPERLINK("http://uni-lab-assets / pylabrobot_models", "uni-lab-assets / pylabrobot_models")</f>
        <v>uni-lab-assets / pylabrobot_models</v>
      </c>
      <c r="V95" s="2" t="str">
        <f>=HYPERLINK("http://北京实验室/pylabrobot_model_coverage.xlsx", "北京实验室/pylabrobot_model_coverage.xlsx")</f>
        <v>北京实验室/pylabrobot_model_coverage.xlsx</v>
      </c>
      <c r="W95" t="inlineStr">
        <is>
          <t>已有uni-lab-assets模型，URDF完整度L2；无需结构化尺寸。Backend可按现有仿真节点模式接入。</t>
        </is>
      </c>
      <c r="X95" t="inlineStr">
        <is>
          <t>多功能微孔板读板仪 / 酶标仪</t>
        </is>
      </c>
      <c r="Y95"/>
      <c r="Z95"/>
    </row>
    <row r="96" ht="25.5" customHeight="1">
      <c r="A96" t="inlineStr">
        <is>
          <t>Molecular Devices SpectraMax 384plus</t>
        </is>
      </c>
      <c r="B96" t="inlineStr">
        <is>
          <t>HW-4 发酵过程在线监测与蛋白稳定性表征</t>
        </is>
      </c>
      <c r="C96" t="inlineStr">
        <is>
          <t>酶标仪</t>
        </is>
      </c>
      <c r="D96" t="inlineStr">
        <is>
          <t>Molecular Devices SpectraMax 384plus</t>
        </is>
      </c>
      <c r="E96"/>
      <c r="F96" t="inlineStr">
        <is>
          <t>asset</t>
        </is>
      </c>
      <c r="G96" t="inlineStr">
        <is>
          <t>URDF可用, Mesh可用</t>
        </is>
      </c>
      <c r="H96" t="inlineStr">
        <is>
          <t>asset</t>
        </is>
      </c>
      <c r="I96" t="inlineStr">
        <is>
          <t>asset</t>
        </is>
      </c>
      <c r="J96" t="inlineStr">
        <is>
          <t>不适用</t>
        </is>
      </c>
      <c r="K96" t="inlineStr">
        <is>
          <t>不适用</t>
        </is>
      </c>
      <c r="L96" t="inlineStr">
        <is>
          <t>待确认</t>
        </is>
      </c>
      <c r="M96" t="inlineStr">
        <is>
          <t>PyLabRobot支持级别：Full；设备类别：分析设备 / 酶标仪；模型ID：molecular_devices_spectramax_abs；URDF完整度：L2。</t>
        </is>
      </c>
      <c r="N96" t="inlineStr">
        <is>
          <t>asset</t>
        </is>
      </c>
      <c r="O96" t="inlineStr">
        <is>
          <t>HW-4 发酵过程在线监测与蛋白稳定性表征</t>
        </is>
      </c>
      <c r="P96" t="inlineStr">
        <is>
          <t>asset:PLR × 模型库覆盖</t>
        </is>
      </c>
      <c r="Q96" t="inlineStr">
        <is>
          <t>pylabrobot_coverage:54</t>
        </is>
      </c>
      <c r="R96" t="inlineStr">
        <is>
          <t>asset</t>
        </is>
      </c>
      <c r="S96" t="inlineStr">
        <is>
          <t>中</t>
        </is>
      </c>
      <c r="T96" t="inlineStr">
        <is>
          <t>来源工作簿 pylabrobot_model_coverage.xlsx / PLR × 模型库覆盖 第54行；模型ID：molecular_devices_spectramax_abs；Mesh：0_base.stl；关节：—；缺失要素：moveable joints, inertial, collision。</t>
        </is>
      </c>
      <c r="U96" s="2" t="str">
        <f>=HYPERLINK("http://uni-lab-assets / pylabrobot_models", "uni-lab-assets / pylabrobot_models")</f>
        <v>uni-lab-assets / pylabrobot_models</v>
      </c>
      <c r="V96" s="2" t="str">
        <f>=HYPERLINK("http://北京实验室/pylabrobot_model_coverage.xlsx", "北京实验室/pylabrobot_model_coverage.xlsx")</f>
        <v>北京实验室/pylabrobot_model_coverage.xlsx</v>
      </c>
      <c r="W96" t="inlineStr">
        <is>
          <t>已有uni-lab-assets模型，URDF完整度L2；无需结构化尺寸。Backend可按现有仿真节点模式接入。</t>
        </is>
      </c>
      <c r="X96" t="inlineStr">
        <is>
          <t>多功能微孔板读板仪 / 酶标仪</t>
        </is>
      </c>
      <c r="Y96"/>
      <c r="Z96"/>
    </row>
    <row r="97" ht="25.5" customHeight="1">
      <c r="A97" t="inlineStr">
        <is>
          <t>Tecan Infinite 200 PRO</t>
        </is>
      </c>
      <c r="B97" t="inlineStr">
        <is>
          <t>HW-4 发酵过程在线监测与蛋白稳定性表征</t>
        </is>
      </c>
      <c r="C97" t="inlineStr">
        <is>
          <t>酶标仪</t>
        </is>
      </c>
      <c r="D97" t="inlineStr">
        <is>
          <t>Tecan Infinite 200 PRO</t>
        </is>
      </c>
      <c r="E97"/>
      <c r="F97" t="inlineStr">
        <is>
          <t>asset</t>
        </is>
      </c>
      <c r="G97" t="inlineStr">
        <is>
          <t>URDF可用, Mesh可用</t>
        </is>
      </c>
      <c r="H97" t="inlineStr">
        <is>
          <t>asset</t>
        </is>
      </c>
      <c r="I97" t="inlineStr">
        <is>
          <t>asset</t>
        </is>
      </c>
      <c r="J97" t="inlineStr">
        <is>
          <t>不适用</t>
        </is>
      </c>
      <c r="K97" t="inlineStr">
        <is>
          <t>不适用</t>
        </is>
      </c>
      <c r="L97" t="inlineStr">
        <is>
          <t>待确认</t>
        </is>
      </c>
      <c r="M97" t="inlineStr">
        <is>
          <t>PyLabRobot支持级别：Mostly；设备类别：分析设备 / 酶标仪；模型ID：tecan_infinite_m200；URDF完整度：L2。</t>
        </is>
      </c>
      <c r="N97" t="inlineStr">
        <is>
          <t>asset</t>
        </is>
      </c>
      <c r="O97" t="inlineStr">
        <is>
          <t>HW-4 发酵过程在线监测与蛋白稳定性表征</t>
        </is>
      </c>
      <c r="P97" t="inlineStr">
        <is>
          <t>asset:PLR × 模型库覆盖</t>
        </is>
      </c>
      <c r="Q97" t="inlineStr">
        <is>
          <t>pylabrobot_coverage:56</t>
        </is>
      </c>
      <c r="R97" t="inlineStr">
        <is>
          <t>asset</t>
        </is>
      </c>
      <c r="S97" t="inlineStr">
        <is>
          <t>中</t>
        </is>
      </c>
      <c r="T97" t="inlineStr">
        <is>
          <t>来源工作簿 pylabrobot_model_coverage.xlsx / PLR × 模型库覆盖 第56行；模型ID：tecan_infinite_m200；Mesh：0_base.stl；关节：—；缺失要素：moveable joints, inertial, collision。</t>
        </is>
      </c>
      <c r="U97" s="2" t="str">
        <f>=HYPERLINK("http://uni-lab-assets / pylabrobot_models", "uni-lab-assets / pylabrobot_models")</f>
        <v>uni-lab-assets / pylabrobot_models</v>
      </c>
      <c r="V97" s="2" t="str">
        <f>=HYPERLINK("http://北京实验室/pylabrobot_model_coverage.xlsx", "北京实验室/pylabrobot_model_coverage.xlsx")</f>
        <v>北京实验室/pylabrobot_model_coverage.xlsx</v>
      </c>
      <c r="W97" t="inlineStr">
        <is>
          <t>已有uni-lab-assets模型，URDF完整度L2；无需结构化尺寸。Backend可按现有仿真节点模式接入。</t>
        </is>
      </c>
      <c r="X97" t="inlineStr">
        <is>
          <t>多功能微孔板读板仪 / 酶标仪</t>
        </is>
      </c>
      <c r="Y97"/>
      <c r="Z97"/>
    </row>
    <row r="98" ht="25.5" customHeight="1">
      <c r="A98" t="inlineStr">
        <is>
          <t>Mettler Toledo WXS205SDU</t>
        </is>
      </c>
      <c r="B98" t="inlineStr">
        <is>
          <t>HW-4 发酵过程在线监测与蛋白稳定性表征</t>
        </is>
      </c>
      <c r="C98" t="inlineStr">
        <is>
          <t>天平</t>
        </is>
      </c>
      <c r="D98" t="inlineStr">
        <is>
          <t>Mettler Toledo WXS205SDU</t>
        </is>
      </c>
      <c r="E98"/>
      <c r="F98" t="inlineStr">
        <is>
          <t>asset</t>
        </is>
      </c>
      <c r="G98" t="inlineStr">
        <is>
          <t>URDF可用, Mesh可用</t>
        </is>
      </c>
      <c r="H98" t="inlineStr">
        <is>
          <t>asset</t>
        </is>
      </c>
      <c r="I98" t="inlineStr">
        <is>
          <t>asset</t>
        </is>
      </c>
      <c r="J98" t="inlineStr">
        <is>
          <t>不适用</t>
        </is>
      </c>
      <c r="K98" t="inlineStr">
        <is>
          <t>不适用</t>
        </is>
      </c>
      <c r="L98" t="inlineStr">
        <is>
          <t>待确认</t>
        </is>
      </c>
      <c r="M98" t="inlineStr">
        <is>
          <t>PyLabRobot支持级别：Full；设备类别：分析设备 / 天平；模型ID：mettler_toledo_analytical_balance；URDF完整度：L1。</t>
        </is>
      </c>
      <c r="N98" t="inlineStr">
        <is>
          <t>asset</t>
        </is>
      </c>
      <c r="O98" t="inlineStr">
        <is>
          <t>HW-4 发酵过程在线监测与蛋白稳定性表征</t>
        </is>
      </c>
      <c r="P98" t="inlineStr">
        <is>
          <t>asset:PLR × 模型库覆盖</t>
        </is>
      </c>
      <c r="Q98" t="inlineStr">
        <is>
          <t>pylabrobot_coverage:59</t>
        </is>
      </c>
      <c r="R98" t="inlineStr">
        <is>
          <t>asset</t>
        </is>
      </c>
      <c r="S98" t="inlineStr">
        <is>
          <t>中</t>
        </is>
      </c>
      <c r="T98" t="inlineStr">
        <is>
          <t>来源工作簿 pylabrobot_model_coverage.xlsx / PLR × 模型库覆盖 第59行；模型ID：mettler_toledo_analytical_balance；Mesh：0_base.stl；关节：—；缺失要素：joints, inertial, collision。</t>
        </is>
      </c>
      <c r="U98" s="2" t="str">
        <f>=HYPERLINK("http://uni-lab-assets / pylabrobot_models", "uni-lab-assets / pylabrobot_models")</f>
        <v>uni-lab-assets / pylabrobot_models</v>
      </c>
      <c r="V98" s="2" t="str">
        <f>=HYPERLINK("http://北京实验室/pylabrobot_model_coverage.xlsx", "北京实验室/pylabrobot_model_coverage.xlsx")</f>
        <v>北京实验室/pylabrobot_model_coverage.xlsx</v>
      </c>
      <c r="W98" t="inlineStr">
        <is>
          <t>已有uni-lab-assets模型，URDF完整度L1；无需结构化尺寸。Backend可按现有仿真节点模式接入。</t>
        </is>
      </c>
      <c r="X98" t="inlineStr">
        <is>
          <t>HW-4 其他仪器</t>
        </is>
      </c>
      <c r="Y98"/>
      <c r="Z98"/>
    </row>
    <row r="99" ht="25.5" customHeight="1">
      <c r="A99" t="inlineStr">
        <is>
          <t>Beckman Coulter Biomek i5</t>
        </is>
      </c>
      <c r="B99" t="inlineStr">
        <is>
          <t>HW-2 高通量自动化表达与克隆筛选</t>
        </is>
      </c>
      <c r="C99" t="inlineStr">
        <is>
          <t>液体处理站</t>
        </is>
      </c>
      <c r="D99" t="inlineStr">
        <is>
          <t>Beckman Coulter Biomek i5</t>
        </is>
      </c>
      <c r="E99"/>
      <c r="F99" t="inlineStr">
        <is>
          <t>asset</t>
        </is>
      </c>
      <c r="G99" t="inlineStr">
        <is>
          <t>URDF可用</t>
        </is>
      </c>
      <c r="H99" t="inlineStr">
        <is>
          <t>asset</t>
        </is>
      </c>
      <c r="I99" t="inlineStr">
        <is>
          <t>asset</t>
        </is>
      </c>
      <c r="J99" t="inlineStr">
        <is>
          <t>不适用</t>
        </is>
      </c>
      <c r="K99" t="inlineStr">
        <is>
          <t>不适用</t>
        </is>
      </c>
      <c r="L99" t="inlineStr">
        <is>
          <t>待确认</t>
        </is>
      </c>
      <c r="M99" t="inlineStr">
        <is>
          <t>模型库扩展候选；设备类别：液体处理站；模型ID：beckman_coulter_biomek_i5；URDF级别：L2；备注：全自动液体处理工作站，PLR 未列出。</t>
        </is>
      </c>
      <c r="N99" t="inlineStr">
        <is>
          <t>asset</t>
        </is>
      </c>
      <c r="O99" t="inlineStr">
        <is>
          <t>HW-2 高通量自动化表达与克隆筛选</t>
        </is>
      </c>
      <c r="P99" t="inlineStr">
        <is>
          <t>asset:模型库扩展候选</t>
        </is>
      </c>
      <c r="Q99" t="inlineStr">
        <is>
          <t>pylabrobot_extension:3</t>
        </is>
      </c>
      <c r="R99" t="inlineStr">
        <is>
          <t>asset</t>
        </is>
      </c>
      <c r="S99" t="inlineStr">
        <is>
          <t>中</t>
        </is>
      </c>
      <c r="T99" t="inlineStr">
        <is>
          <t>来源工作簿 pylabrobot_model_coverage.xlsx / 模型库扩展候选 第3行；模型ID：beckman_coulter_biomek_i5；Mesh：完整度表未列出；关节：完整度表未列出。</t>
        </is>
      </c>
      <c r="U99" s="2" t="str">
        <f>=HYPERLINK("http://uni-lab-assets / pylabrobot_models", "uni-lab-assets / pylabrobot_models")</f>
        <v>uni-lab-assets / pylabrobot_models</v>
      </c>
      <c r="V99" s="2" t="str">
        <f>=HYPERLINK("http://北京实验室/pylabrobot_model_coverage.xlsx", "北京实验室/pylabrobot_model_coverage.xlsx")</f>
        <v>北京实验室/pylabrobot_model_coverage.xlsx</v>
      </c>
      <c r="W99" t="inlineStr">
        <is>
          <t>资产库已有3D/URDF模型（L2），但PLR可能未官方支持；可作为自动化仿真资产候选，无需结构化尺寸。</t>
        </is>
      </c>
      <c r="X99" t="inlineStr">
        <is>
          <t>高通量自动化液体处理工作站 / 灵活8通道移液工作站 / 96通道移液工作站</t>
        </is>
      </c>
      <c r="Y99"/>
      <c r="Z99"/>
    </row>
    <row r="100" ht="25.5" customHeight="1">
      <c r="A100" t="inlineStr">
        <is>
          <t>Beckman Coulter Biomek i7</t>
        </is>
      </c>
      <c r="B100" t="inlineStr">
        <is>
          <t>HW-2 高通量自动化表达与克隆筛选</t>
        </is>
      </c>
      <c r="C100" t="inlineStr">
        <is>
          <t>液体处理站</t>
        </is>
      </c>
      <c r="D100" t="inlineStr">
        <is>
          <t>Beckman Coulter Biomek i7</t>
        </is>
      </c>
      <c r="E100"/>
      <c r="F100" t="inlineStr">
        <is>
          <t>asset</t>
        </is>
      </c>
      <c r="G100" t="inlineStr">
        <is>
          <t>URDF可用</t>
        </is>
      </c>
      <c r="H100" t="inlineStr">
        <is>
          <t>asset</t>
        </is>
      </c>
      <c r="I100" t="inlineStr">
        <is>
          <t>asset</t>
        </is>
      </c>
      <c r="J100" t="inlineStr">
        <is>
          <t>不适用</t>
        </is>
      </c>
      <c r="K100" t="inlineStr">
        <is>
          <t>不适用</t>
        </is>
      </c>
      <c r="L100" t="inlineStr">
        <is>
          <t>待确认</t>
        </is>
      </c>
      <c r="M100" t="inlineStr">
        <is>
          <t>模型库扩展候选；设备类别：液体处理站；模型ID：beckman_coulter_biomek_i7；URDF级别：L2；备注：全自动液体处理工作站，PLR 未列出。</t>
        </is>
      </c>
      <c r="N100" t="inlineStr">
        <is>
          <t>asset</t>
        </is>
      </c>
      <c r="O100" t="inlineStr">
        <is>
          <t>HW-2 高通量自动化表达与克隆筛选</t>
        </is>
      </c>
      <c r="P100" t="inlineStr">
        <is>
          <t>asset:模型库扩展候选</t>
        </is>
      </c>
      <c r="Q100" t="inlineStr">
        <is>
          <t>pylabrobot_extension:4</t>
        </is>
      </c>
      <c r="R100" t="inlineStr">
        <is>
          <t>asset</t>
        </is>
      </c>
      <c r="S100" t="inlineStr">
        <is>
          <t>中</t>
        </is>
      </c>
      <c r="T100" t="inlineStr">
        <is>
          <t>来源工作簿 pylabrobot_model_coverage.xlsx / 模型库扩展候选 第4行；模型ID：beckman_coulter_biomek_i7；Mesh：完整度表未列出；关节：完整度表未列出。</t>
        </is>
      </c>
      <c r="U100" s="2" t="str">
        <f>=HYPERLINK("http://uni-lab-assets / pylabrobot_models", "uni-lab-assets / pylabrobot_models")</f>
        <v>uni-lab-assets / pylabrobot_models</v>
      </c>
      <c r="V100" s="2" t="str">
        <f>=HYPERLINK("http://北京实验室/pylabrobot_model_coverage.xlsx", "北京实验室/pylabrobot_model_coverage.xlsx")</f>
        <v>北京实验室/pylabrobot_model_coverage.xlsx</v>
      </c>
      <c r="W100" t="inlineStr">
        <is>
          <t>资产库已有3D/URDF模型（L2），但PLR可能未官方支持；可作为自动化仿真资产候选，无需结构化尺寸。</t>
        </is>
      </c>
      <c r="X100" t="inlineStr">
        <is>
          <t>高通量自动化液体处理工作站 / 灵活8通道移液工作站 / 96通道移液工作站</t>
        </is>
      </c>
      <c r="Y100"/>
      <c r="Z100"/>
    </row>
    <row r="101" ht="25.5" customHeight="1">
      <c r="A101" t="inlineStr">
        <is>
          <t>Agilent Bravo</t>
        </is>
      </c>
      <c r="B101" t="inlineStr">
        <is>
          <t>HW-2 高通量自动化表达与克隆筛选</t>
        </is>
      </c>
      <c r="C101" t="inlineStr">
        <is>
          <t>液体处理站</t>
        </is>
      </c>
      <c r="D101" t="inlineStr">
        <is>
          <t>Agilent Bravo</t>
        </is>
      </c>
      <c r="E101"/>
      <c r="F101" t="inlineStr">
        <is>
          <t>asset</t>
        </is>
      </c>
      <c r="G101" t="inlineStr">
        <is>
          <t>URDF可用</t>
        </is>
      </c>
      <c r="H101" t="inlineStr">
        <is>
          <t>asset</t>
        </is>
      </c>
      <c r="I101" t="inlineStr">
        <is>
          <t>asset</t>
        </is>
      </c>
      <c r="J101" t="inlineStr">
        <is>
          <t>不适用</t>
        </is>
      </c>
      <c r="K101" t="inlineStr">
        <is>
          <t>不适用</t>
        </is>
      </c>
      <c r="L101" t="inlineStr">
        <is>
          <t>待确认</t>
        </is>
      </c>
      <c r="M101" t="inlineStr">
        <is>
          <t>模型库扩展候选；设备类别：液体处理站；模型ID：agilent_bravo；URDF级别：L2；备注：96 通道液体处理，PLR 未列出。</t>
        </is>
      </c>
      <c r="N101" t="inlineStr">
        <is>
          <t>asset</t>
        </is>
      </c>
      <c r="O101" t="inlineStr">
        <is>
          <t>HW-2 高通量自动化表达与克隆筛选</t>
        </is>
      </c>
      <c r="P101" t="inlineStr">
        <is>
          <t>asset:模型库扩展候选</t>
        </is>
      </c>
      <c r="Q101" t="inlineStr">
        <is>
          <t>pylabrobot_extension:5</t>
        </is>
      </c>
      <c r="R101" t="inlineStr">
        <is>
          <t>asset</t>
        </is>
      </c>
      <c r="S101" t="inlineStr">
        <is>
          <t>中</t>
        </is>
      </c>
      <c r="T101" t="inlineStr">
        <is>
          <t>来源工作簿 pylabrobot_model_coverage.xlsx / 模型库扩展候选 第5行；模型ID：agilent_bravo；Mesh：完整度表未列出；关节：完整度表未列出。</t>
        </is>
      </c>
      <c r="U101" s="2" t="str">
        <f>=HYPERLINK("http://uni-lab-assets / pylabrobot_models", "uni-lab-assets / pylabrobot_models")</f>
        <v>uni-lab-assets / pylabrobot_models</v>
      </c>
      <c r="V101" s="2" t="str">
        <f>=HYPERLINK("http://北京实验室/pylabrobot_model_coverage.xlsx", "北京实验室/pylabrobot_model_coverage.xlsx")</f>
        <v>北京实验室/pylabrobot_model_coverage.xlsx</v>
      </c>
      <c r="W101" t="inlineStr">
        <is>
          <t>资产库已有3D/URDF模型（L2），但PLR可能未官方支持；可作为自动化仿真资产候选，无需结构化尺寸。</t>
        </is>
      </c>
      <c r="X101" t="inlineStr">
        <is>
          <t>高通量自动化液体处理工作站 / 灵活8通道移液工作站 / 96通道移液工作站</t>
        </is>
      </c>
      <c r="Y101"/>
      <c r="Z101"/>
    </row>
    <row r="102" ht="25.5" customHeight="1">
      <c r="A102" t="inlineStr">
        <is>
          <t>Opentrons Flex</t>
        </is>
      </c>
      <c r="B102" t="inlineStr">
        <is>
          <t>HW-2 高通量自动化表达与克隆筛选</t>
        </is>
      </c>
      <c r="C102" t="inlineStr">
        <is>
          <t>液体处理站</t>
        </is>
      </c>
      <c r="D102" t="inlineStr">
        <is>
          <t>Opentrons Flex</t>
        </is>
      </c>
      <c r="E102"/>
      <c r="F102" t="inlineStr">
        <is>
          <t>asset</t>
        </is>
      </c>
      <c r="G102" t="inlineStr">
        <is>
          <t>URDF可用</t>
        </is>
      </c>
      <c r="H102" t="inlineStr">
        <is>
          <t>asset</t>
        </is>
      </c>
      <c r="I102" t="inlineStr">
        <is>
          <t>asset</t>
        </is>
      </c>
      <c r="J102" t="inlineStr">
        <is>
          <t>不适用</t>
        </is>
      </c>
      <c r="K102" t="inlineStr">
        <is>
          <t>不适用</t>
        </is>
      </c>
      <c r="L102" t="inlineStr">
        <is>
          <t>待确认</t>
        </is>
      </c>
      <c r="M102" t="inlineStr">
        <is>
          <t>模型库扩展候选；设备类别：液体处理站；模型ID：opentrons_flex；URDF级别：L2；备注：OT-2 后继机型，社区有支持。</t>
        </is>
      </c>
      <c r="N102" t="inlineStr">
        <is>
          <t>asset</t>
        </is>
      </c>
      <c r="O102" t="inlineStr">
        <is>
          <t>HW-2 高通量自动化表达与克隆筛选</t>
        </is>
      </c>
      <c r="P102" t="inlineStr">
        <is>
          <t>asset:模型库扩展候选</t>
        </is>
      </c>
      <c r="Q102" t="inlineStr">
        <is>
          <t>pylabrobot_extension:6</t>
        </is>
      </c>
      <c r="R102" t="inlineStr">
        <is>
          <t>asset</t>
        </is>
      </c>
      <c r="S102" t="inlineStr">
        <is>
          <t>中</t>
        </is>
      </c>
      <c r="T102" t="inlineStr">
        <is>
          <t>来源工作簿 pylabrobot_model_coverage.xlsx / 模型库扩展候选 第6行；模型ID：opentrons_flex；Mesh：完整度表未列出；关节：完整度表未列出。</t>
        </is>
      </c>
      <c r="U102" s="2" t="str">
        <f>=HYPERLINK("http://uni-lab-assets / pylabrobot_models", "uni-lab-assets / pylabrobot_models")</f>
        <v>uni-lab-assets / pylabrobot_models</v>
      </c>
      <c r="V102" s="2" t="str">
        <f>=HYPERLINK("http://北京实验室/pylabrobot_model_coverage.xlsx", "北京实验室/pylabrobot_model_coverage.xlsx")</f>
        <v>北京实验室/pylabrobot_model_coverage.xlsx</v>
      </c>
      <c r="W102" t="inlineStr">
        <is>
          <t>资产库已有3D/URDF模型（L2），但PLR可能未官方支持；可作为自动化仿真资产候选，无需结构化尺寸。</t>
        </is>
      </c>
      <c r="X102" t="inlineStr">
        <is>
          <t>高通量自动化液体处理工作站 / 灵活8通道移液工作站 / 96通道移液工作站</t>
        </is>
      </c>
      <c r="Y102"/>
      <c r="Z102"/>
    </row>
    <row r="103" ht="25.5" customHeight="1">
      <c r="A103" t="inlineStr">
        <is>
          <t>Formulatrix MANTIS</t>
        </is>
      </c>
      <c r="B103" t="inlineStr">
        <is>
          <t>HW-2 高通量自动化表达与克隆筛选</t>
        </is>
      </c>
      <c r="C103" t="inlineStr">
        <is>
          <t>分液器</t>
        </is>
      </c>
      <c r="D103" t="inlineStr">
        <is>
          <t>Formulatrix MANTIS</t>
        </is>
      </c>
      <c r="E103"/>
      <c r="F103" t="inlineStr">
        <is>
          <t>asset</t>
        </is>
      </c>
      <c r="G103" t="inlineStr">
        <is>
          <t>URDF可用</t>
        </is>
      </c>
      <c r="H103" t="inlineStr">
        <is>
          <t>asset</t>
        </is>
      </c>
      <c r="I103" t="inlineStr">
        <is>
          <t>asset</t>
        </is>
      </c>
      <c r="J103" t="inlineStr">
        <is>
          <t>不适用</t>
        </is>
      </c>
      <c r="K103" t="inlineStr">
        <is>
          <t>不适用</t>
        </is>
      </c>
      <c r="L103" t="inlineStr">
        <is>
          <t>待确认</t>
        </is>
      </c>
      <c r="M103" t="inlineStr">
        <is>
          <t>模型库扩展候选；设备类别：分液器；模型ID：formulatrix_mantis；URDF级别：L2；备注：微量分液器，PLR 未支持。</t>
        </is>
      </c>
      <c r="N103" t="inlineStr">
        <is>
          <t>asset</t>
        </is>
      </c>
      <c r="O103" t="inlineStr">
        <is>
          <t>HW-2 高通量自动化表达与克隆筛选</t>
        </is>
      </c>
      <c r="P103" t="inlineStr">
        <is>
          <t>asset:模型库扩展候选</t>
        </is>
      </c>
      <c r="Q103" t="inlineStr">
        <is>
          <t>pylabrobot_extension:7</t>
        </is>
      </c>
      <c r="R103" t="inlineStr">
        <is>
          <t>asset</t>
        </is>
      </c>
      <c r="S103" t="inlineStr">
        <is>
          <t>中</t>
        </is>
      </c>
      <c r="T103" t="inlineStr">
        <is>
          <t>来源工作簿 pylabrobot_model_coverage.xlsx / 模型库扩展候选 第7行；模型ID：formulatrix_mantis；Mesh：完整度表未列出；关节：完整度表未列出。</t>
        </is>
      </c>
      <c r="U103" s="2" t="str">
        <f>=HYPERLINK("http://uni-lab-assets / pylabrobot_models", "uni-lab-assets / pylabrobot_models")</f>
        <v>uni-lab-assets / pylabrobot_models</v>
      </c>
      <c r="V103" s="2" t="str">
        <f>=HYPERLINK("http://北京实验室/pylabrobot_model_coverage.xlsx", "北京实验室/pylabrobot_model_coverage.xlsx")</f>
        <v>北京实验室/pylabrobot_model_coverage.xlsx</v>
      </c>
      <c r="W103" t="inlineStr">
        <is>
          <t>资产库已有3D/URDF模型（L2），但PLR可能未官方支持；可作为自动化仿真资产候选，无需结构化尺寸。</t>
        </is>
      </c>
      <c r="X103" t="inlineStr">
        <is>
          <t>高通量自动化液体处理工作站 / 灵活8通道移液工作站 / 96通道移液工作站</t>
        </is>
      </c>
      <c r="Y103"/>
      <c r="Z103"/>
    </row>
    <row r="104" ht="25.5" customHeight="1">
      <c r="A104" t="inlineStr">
        <is>
          <t>Formulatrix TEMPEST</t>
        </is>
      </c>
      <c r="B104" t="inlineStr">
        <is>
          <t>HW-2 高通量自动化表达与克隆筛选</t>
        </is>
      </c>
      <c r="C104" t="inlineStr">
        <is>
          <t>分液器</t>
        </is>
      </c>
      <c r="D104" t="inlineStr">
        <is>
          <t>Formulatrix TEMPEST</t>
        </is>
      </c>
      <c r="E104"/>
      <c r="F104" t="inlineStr">
        <is>
          <t>asset</t>
        </is>
      </c>
      <c r="G104" t="inlineStr">
        <is>
          <t>URDF可用</t>
        </is>
      </c>
      <c r="H104" t="inlineStr">
        <is>
          <t>asset</t>
        </is>
      </c>
      <c r="I104" t="inlineStr">
        <is>
          <t>asset</t>
        </is>
      </c>
      <c r="J104" t="inlineStr">
        <is>
          <t>不适用</t>
        </is>
      </c>
      <c r="K104" t="inlineStr">
        <is>
          <t>不适用</t>
        </is>
      </c>
      <c r="L104" t="inlineStr">
        <is>
          <t>待确认</t>
        </is>
      </c>
      <c r="M104" t="inlineStr">
        <is>
          <t>模型库扩展候选；设备类别：分液器；模型ID：formulatrix_tempest；URDF级别：L2；备注：微量分液器，PLR 未支持。</t>
        </is>
      </c>
      <c r="N104" t="inlineStr">
        <is>
          <t>asset</t>
        </is>
      </c>
      <c r="O104" t="inlineStr">
        <is>
          <t>HW-2 高通量自动化表达与克隆筛选</t>
        </is>
      </c>
      <c r="P104" t="inlineStr">
        <is>
          <t>asset:模型库扩展候选</t>
        </is>
      </c>
      <c r="Q104" t="inlineStr">
        <is>
          <t>pylabrobot_extension:8</t>
        </is>
      </c>
      <c r="R104" t="inlineStr">
        <is>
          <t>asset</t>
        </is>
      </c>
      <c r="S104" t="inlineStr">
        <is>
          <t>中</t>
        </is>
      </c>
      <c r="T104" t="inlineStr">
        <is>
          <t>来源工作簿 pylabrobot_model_coverage.xlsx / 模型库扩展候选 第8行；模型ID：formulatrix_tempest；Mesh：完整度表未列出；关节：完整度表未列出。</t>
        </is>
      </c>
      <c r="U104" s="2" t="str">
        <f>=HYPERLINK("http://uni-lab-assets / pylabrobot_models", "uni-lab-assets / pylabrobot_models")</f>
        <v>uni-lab-assets / pylabrobot_models</v>
      </c>
      <c r="V104" s="2" t="str">
        <f>=HYPERLINK("http://北京实验室/pylabrobot_model_coverage.xlsx", "北京实验室/pylabrobot_model_coverage.xlsx")</f>
        <v>北京实验室/pylabrobot_model_coverage.xlsx</v>
      </c>
      <c r="W104" t="inlineStr">
        <is>
          <t>资产库已有3D/URDF模型（L2），但PLR可能未官方支持；可作为自动化仿真资产候选，无需结构化尺寸。</t>
        </is>
      </c>
      <c r="X104" t="inlineStr">
        <is>
          <t>高通量自动化液体处理工作站 / 灵活8通道移液工作站 / 96通道移液工作站</t>
        </is>
      </c>
      <c r="Y104"/>
      <c r="Z104"/>
    </row>
    <row r="105" ht="25.5" customHeight="1">
      <c r="A105" t="inlineStr">
        <is>
          <t>Dispendix iDot</t>
        </is>
      </c>
      <c r="B105" t="inlineStr">
        <is>
          <t>HW-2 高通量自动化表达与克隆筛选</t>
        </is>
      </c>
      <c r="C105" t="inlineStr">
        <is>
          <t>声学液体处理</t>
        </is>
      </c>
      <c r="D105" t="inlineStr">
        <is>
          <t>Dispendix iDot</t>
        </is>
      </c>
      <c r="E105"/>
      <c r="F105" t="inlineStr">
        <is>
          <t>asset</t>
        </is>
      </c>
      <c r="G105" t="inlineStr">
        <is>
          <t>URDF可用</t>
        </is>
      </c>
      <c r="H105" t="inlineStr">
        <is>
          <t>asset</t>
        </is>
      </c>
      <c r="I105" t="inlineStr">
        <is>
          <t>asset</t>
        </is>
      </c>
      <c r="J105" t="inlineStr">
        <is>
          <t>不适用</t>
        </is>
      </c>
      <c r="K105" t="inlineStr">
        <is>
          <t>不适用</t>
        </is>
      </c>
      <c r="L105" t="inlineStr">
        <is>
          <t>待确认</t>
        </is>
      </c>
      <c r="M105" t="inlineStr">
        <is>
          <t>模型库扩展候选；设备类别：声学液体处理；模型ID：dispendix_idot_liquid_handler；URDF级别：L2；备注：PLR 未支持。</t>
        </is>
      </c>
      <c r="N105" t="inlineStr">
        <is>
          <t>asset</t>
        </is>
      </c>
      <c r="O105" t="inlineStr">
        <is>
          <t>HW-2 高通量自动化表达与克隆筛选</t>
        </is>
      </c>
      <c r="P105" t="inlineStr">
        <is>
          <t>asset:模型库扩展候选</t>
        </is>
      </c>
      <c r="Q105" t="inlineStr">
        <is>
          <t>pylabrobot_extension:9</t>
        </is>
      </c>
      <c r="R105" t="inlineStr">
        <is>
          <t>asset</t>
        </is>
      </c>
      <c r="S105" t="inlineStr">
        <is>
          <t>中</t>
        </is>
      </c>
      <c r="T105" t="inlineStr">
        <is>
          <t>来源工作簿 pylabrobot_model_coverage.xlsx / 模型库扩展候选 第9行；模型ID：dispendix_idot_liquid_handler；Mesh：完整度表未列出；关节：完整度表未列出。</t>
        </is>
      </c>
      <c r="U105" s="2" t="str">
        <f>=HYPERLINK("http://uni-lab-assets / pylabrobot_models", "uni-lab-assets / pylabrobot_models")</f>
        <v>uni-lab-assets / pylabrobot_models</v>
      </c>
      <c r="V105" s="2" t="str">
        <f>=HYPERLINK("http://北京实验室/pylabrobot_model_coverage.xlsx", "北京实验室/pylabrobot_model_coverage.xlsx")</f>
        <v>北京实验室/pylabrobot_model_coverage.xlsx</v>
      </c>
      <c r="W105" t="inlineStr">
        <is>
          <t>资产库已有3D/URDF模型（L2），但PLR可能未官方支持；可作为自动化仿真资产候选，无需结构化尺寸。</t>
        </is>
      </c>
      <c r="X105" t="inlineStr">
        <is>
          <t>高通量自动化液体处理工作站 / 灵活8通道移液工作站 / 96通道移液工作站</t>
        </is>
      </c>
      <c r="Y105"/>
      <c r="Z105"/>
    </row>
    <row r="106" ht="25.5" customHeight="1">
      <c r="A106" t="inlineStr">
        <is>
          <t>BMG PHERAstar FSX</t>
        </is>
      </c>
      <c r="B106" t="inlineStr">
        <is>
          <t>HW-4 发酵过程在线监测与蛋白稳定性表征</t>
        </is>
      </c>
      <c r="C106" t="inlineStr">
        <is>
          <t>酶标仪</t>
        </is>
      </c>
      <c r="D106" t="inlineStr">
        <is>
          <t>BMG PHERAstar FSX</t>
        </is>
      </c>
      <c r="E106"/>
      <c r="F106" t="inlineStr">
        <is>
          <t>asset</t>
        </is>
      </c>
      <c r="G106" t="inlineStr">
        <is>
          <t>URDF可用</t>
        </is>
      </c>
      <c r="H106" t="inlineStr">
        <is>
          <t>asset</t>
        </is>
      </c>
      <c r="I106" t="inlineStr">
        <is>
          <t>asset</t>
        </is>
      </c>
      <c r="J106" t="inlineStr">
        <is>
          <t>不适用</t>
        </is>
      </c>
      <c r="K106" t="inlineStr">
        <is>
          <t>不适用</t>
        </is>
      </c>
      <c r="L106" t="inlineStr">
        <is>
          <t>待确认</t>
        </is>
      </c>
      <c r="M106" t="inlineStr">
        <is>
          <t>模型库扩展候选；设备类别：酶标仪；模型ID：bmg_labtech_pherastar_fsx；URDF级别：L2；备注：高端多模式酶标仪，PLR 未列出。</t>
        </is>
      </c>
      <c r="N106" t="inlineStr">
        <is>
          <t>asset</t>
        </is>
      </c>
      <c r="O106" t="inlineStr">
        <is>
          <t>HW-4 发酵过程在线监测与蛋白稳定性表征</t>
        </is>
      </c>
      <c r="P106" t="inlineStr">
        <is>
          <t>asset:模型库扩展候选</t>
        </is>
      </c>
      <c r="Q106" t="inlineStr">
        <is>
          <t>pylabrobot_extension:10</t>
        </is>
      </c>
      <c r="R106" t="inlineStr">
        <is>
          <t>asset</t>
        </is>
      </c>
      <c r="S106" t="inlineStr">
        <is>
          <t>中</t>
        </is>
      </c>
      <c r="T106" t="inlineStr">
        <is>
          <t>来源工作簿 pylabrobot_model_coverage.xlsx / 模型库扩展候选 第10行；模型ID：bmg_labtech_pherastar_fsx；Mesh：完整度表未列出；关节：完整度表未列出。</t>
        </is>
      </c>
      <c r="U106" s="2" t="str">
        <f>=HYPERLINK("http://uni-lab-assets / pylabrobot_models", "uni-lab-assets / pylabrobot_models")</f>
        <v>uni-lab-assets / pylabrobot_models</v>
      </c>
      <c r="V106" s="2" t="str">
        <f>=HYPERLINK("http://北京实验室/pylabrobot_model_coverage.xlsx", "北京实验室/pylabrobot_model_coverage.xlsx")</f>
        <v>北京实验室/pylabrobot_model_coverage.xlsx</v>
      </c>
      <c r="W106" t="inlineStr">
        <is>
          <t>资产库已有3D/URDF模型（L2），但PLR可能未官方支持；可作为自动化仿真资产候选，无需结构化尺寸。</t>
        </is>
      </c>
      <c r="X106" t="inlineStr">
        <is>
          <t>多功能微孔板读板仪 / 酶标仪</t>
        </is>
      </c>
      <c r="Y106"/>
      <c r="Z106"/>
    </row>
    <row r="107" ht="25.5" customHeight="1">
      <c r="A107" t="inlineStr">
        <is>
          <t>Tecan Spark 系列</t>
        </is>
      </c>
      <c r="B107" t="inlineStr">
        <is>
          <t>HW-4 发酵过程在线监测与蛋白稳定性表征</t>
        </is>
      </c>
      <c r="C107" t="inlineStr">
        <is>
          <t>酶标仪</t>
        </is>
      </c>
      <c r="D107" t="inlineStr">
        <is>
          <t>Tecan Spark 系列</t>
        </is>
      </c>
      <c r="E107"/>
      <c r="F107" t="inlineStr">
        <is>
          <t>asset</t>
        </is>
      </c>
      <c r="G107" t="inlineStr">
        <is>
          <t>URDF可用</t>
        </is>
      </c>
      <c r="H107" t="inlineStr">
        <is>
          <t>asset</t>
        </is>
      </c>
      <c r="I107" t="inlineStr">
        <is>
          <t>asset</t>
        </is>
      </c>
      <c r="J107" t="inlineStr">
        <is>
          <t>不适用</t>
        </is>
      </c>
      <c r="K107" t="inlineStr">
        <is>
          <t>不适用</t>
        </is>
      </c>
      <c r="L107" t="inlineStr">
        <is>
          <t>待确认</t>
        </is>
      </c>
      <c r="M107" t="inlineStr">
        <is>
          <t>模型库扩展候选；设备类别：酶标仪；模型ID：tecan_spark_plate_reader；URDF级别：L2；备注：多模式酶标仪，PLR 未支持。</t>
        </is>
      </c>
      <c r="N107" t="inlineStr">
        <is>
          <t>asset</t>
        </is>
      </c>
      <c r="O107" t="inlineStr">
        <is>
          <t>HW-4 发酵过程在线监测与蛋白稳定性表征</t>
        </is>
      </c>
      <c r="P107" t="inlineStr">
        <is>
          <t>asset:模型库扩展候选</t>
        </is>
      </c>
      <c r="Q107" t="inlineStr">
        <is>
          <t>pylabrobot_extension:11</t>
        </is>
      </c>
      <c r="R107" t="inlineStr">
        <is>
          <t>asset</t>
        </is>
      </c>
      <c r="S107" t="inlineStr">
        <is>
          <t>中</t>
        </is>
      </c>
      <c r="T107" t="inlineStr">
        <is>
          <t>来源工作簿 pylabrobot_model_coverage.xlsx / 模型库扩展候选 第11行；模型ID：tecan_spark_plate_reader；Mesh：完整度表未列出；关节：完整度表未列出。</t>
        </is>
      </c>
      <c r="U107" s="2" t="str">
        <f>=HYPERLINK("http://uni-lab-assets / pylabrobot_models", "uni-lab-assets / pylabrobot_models")</f>
        <v>uni-lab-assets / pylabrobot_models</v>
      </c>
      <c r="V107" s="2" t="str">
        <f>=HYPERLINK("http://北京实验室/pylabrobot_model_coverage.xlsx", "北京实验室/pylabrobot_model_coverage.xlsx")</f>
        <v>北京实验室/pylabrobot_model_coverage.xlsx</v>
      </c>
      <c r="W107" t="inlineStr">
        <is>
          <t>资产库已有3D/URDF模型（L2），但PLR可能未官方支持；可作为自动化仿真资产候选，无需结构化尺寸。</t>
        </is>
      </c>
      <c r="X107" t="inlineStr">
        <is>
          <t>多功能微孔板读板仪 / 酶标仪</t>
        </is>
      </c>
      <c r="Y107"/>
      <c r="Z107"/>
    </row>
    <row r="108" ht="25.5" customHeight="1">
      <c r="A108" t="inlineStr">
        <is>
          <t>Tecan Spark Cyto</t>
        </is>
      </c>
      <c r="B108" t="inlineStr">
        <is>
          <t>HW-4 发酵过程在线监测与蛋白稳定性表征</t>
        </is>
      </c>
      <c r="C108" t="inlineStr">
        <is>
          <t>酶标仪</t>
        </is>
      </c>
      <c r="D108" t="inlineStr">
        <is>
          <t>Tecan Spark Cyto</t>
        </is>
      </c>
      <c r="E108"/>
      <c r="F108" t="inlineStr">
        <is>
          <t>asset</t>
        </is>
      </c>
      <c r="G108" t="inlineStr">
        <is>
          <t>URDF可用</t>
        </is>
      </c>
      <c r="H108" t="inlineStr">
        <is>
          <t>asset</t>
        </is>
      </c>
      <c r="I108" t="inlineStr">
        <is>
          <t>asset</t>
        </is>
      </c>
      <c r="J108" t="inlineStr">
        <is>
          <t>不适用</t>
        </is>
      </c>
      <c r="K108" t="inlineStr">
        <is>
          <t>不适用</t>
        </is>
      </c>
      <c r="L108" t="inlineStr">
        <is>
          <t>待确认</t>
        </is>
      </c>
      <c r="M108" t="inlineStr">
        <is>
          <t>模型库扩展候选；设备类别：酶标仪；模型ID：tecan_spark_cyto；URDF级别：L2；备注：带成像，PLR 未支持。</t>
        </is>
      </c>
      <c r="N108" t="inlineStr">
        <is>
          <t>asset</t>
        </is>
      </c>
      <c r="O108" t="inlineStr">
        <is>
          <t>HW-4 发酵过程在线监测与蛋白稳定性表征</t>
        </is>
      </c>
      <c r="P108" t="inlineStr">
        <is>
          <t>asset:模型库扩展候选</t>
        </is>
      </c>
      <c r="Q108" t="inlineStr">
        <is>
          <t>pylabrobot_extension:12</t>
        </is>
      </c>
      <c r="R108" t="inlineStr">
        <is>
          <t>asset</t>
        </is>
      </c>
      <c r="S108" t="inlineStr">
        <is>
          <t>中</t>
        </is>
      </c>
      <c r="T108" t="inlineStr">
        <is>
          <t>来源工作簿 pylabrobot_model_coverage.xlsx / 模型库扩展候选 第12行；模型ID：tecan_spark_cyto；Mesh：完整度表未列出；关节：完整度表未列出。</t>
        </is>
      </c>
      <c r="U108" s="2" t="str">
        <f>=HYPERLINK("http://uni-lab-assets / pylabrobot_models", "uni-lab-assets / pylabrobot_models")</f>
        <v>uni-lab-assets / pylabrobot_models</v>
      </c>
      <c r="V108" s="2" t="str">
        <f>=HYPERLINK("http://北京实验室/pylabrobot_model_coverage.xlsx", "北京实验室/pylabrobot_model_coverage.xlsx")</f>
        <v>北京实验室/pylabrobot_model_coverage.xlsx</v>
      </c>
      <c r="W108" t="inlineStr">
        <is>
          <t>资产库已有3D/URDF模型（L2），但PLR可能未官方支持；可作为自动化仿真资产候选，无需结构化尺寸。</t>
        </is>
      </c>
      <c r="X108" t="inlineStr">
        <is>
          <t>多功能微孔板读板仪 / 酶标仪</t>
        </is>
      </c>
      <c r="Y108"/>
      <c r="Z108"/>
    </row>
    <row r="109" ht="25.5" customHeight="1">
      <c r="A109" t="inlineStr">
        <is>
          <t>LiCONiC STX 系列</t>
        </is>
      </c>
      <c r="B109" t="inlineStr">
        <is>
          <t>HW-2 高通量自动化表达与克隆筛选</t>
        </is>
      </c>
      <c r="C109" t="inlineStr">
        <is>
          <t>存储孵育器</t>
        </is>
      </c>
      <c r="D109" t="inlineStr">
        <is>
          <t>LiCONiC STX 系列</t>
        </is>
      </c>
      <c r="E109"/>
      <c r="F109" t="inlineStr">
        <is>
          <t>asset</t>
        </is>
      </c>
      <c r="G109" t="inlineStr">
        <is>
          <t>URDF可用, Mesh可用</t>
        </is>
      </c>
      <c r="H109" t="inlineStr">
        <is>
          <t>asset</t>
        </is>
      </c>
      <c r="I109" t="inlineStr">
        <is>
          <t>asset</t>
        </is>
      </c>
      <c r="J109" t="inlineStr">
        <is>
          <t>不适用</t>
        </is>
      </c>
      <c r="K109" t="inlineStr">
        <is>
          <t>不适用</t>
        </is>
      </c>
      <c r="L109" t="inlineStr">
        <is>
          <t>待确认</t>
        </is>
      </c>
      <c r="M109" t="inlineStr">
        <is>
          <t>模型库扩展候选；设备类别：存储孵育器；模型ID：liconic_stx110 / stx220；URDF级别：L3 ★；备注：PLR 通过 Heraeus Cytomat 接口部分覆盖。</t>
        </is>
      </c>
      <c r="N109" t="inlineStr">
        <is>
          <t>asset</t>
        </is>
      </c>
      <c r="O109" t="inlineStr">
        <is>
          <t>HW-3 微型平行发酵与生物过程培养</t>
        </is>
      </c>
      <c r="P109" t="inlineStr">
        <is>
          <t>asset:模型库扩展候选</t>
        </is>
      </c>
      <c r="Q109" t="inlineStr">
        <is>
          <t>pylabrobot_extension:13</t>
        </is>
      </c>
      <c r="R109" t="inlineStr">
        <is>
          <t>asset</t>
        </is>
      </c>
      <c r="S109" t="inlineStr">
        <is>
          <t>高</t>
        </is>
      </c>
      <c r="T109" t="inlineStr">
        <is>
          <t>来源工作簿 pylabrobot_model_coverage.xlsx / 模型库扩展候选 第13行；模型ID：liconic_stx110 / stx220；Mesh：0_base.stl 0_carousel.stl；关节：转盘旋转(continuous)。</t>
        </is>
      </c>
      <c r="U109" s="2" t="str">
        <f>=HYPERLINK("http://uni-lab-assets / pylabrobot_models", "uni-lab-assets / pylabrobot_models")</f>
        <v>uni-lab-assets / pylabrobot_models</v>
      </c>
      <c r="V109" s="2" t="str">
        <f>=HYPERLINK("http://北京实验室/pylabrobot_model_coverage.xlsx", "北京实验室/pylabrobot_model_coverage.xlsx")</f>
        <v>北京实验室/pylabrobot_model_coverage.xlsx</v>
      </c>
      <c r="W109" t="inlineStr">
        <is>
          <t>资产库已有3D/URDF模型（L3 ★），但PLR可能未官方支持；可作为自动化仿真资产候选，无需结构化尺寸。</t>
        </is>
      </c>
      <c r="X109" t="inlineStr">
        <is>
          <t>堆栈</t>
        </is>
      </c>
      <c r="Y109"/>
      <c r="Z109"/>
    </row>
    <row r="110" ht="25.5" customHeight="1">
      <c r="A110" t="inlineStr">
        <is>
          <t>BioTek MultiFlo FX</t>
        </is>
      </c>
      <c r="B110" t="inlineStr">
        <is>
          <t>HW-2 高通量自动化表达与克隆筛选</t>
        </is>
      </c>
      <c r="C110" t="inlineStr">
        <is>
          <t>分液器</t>
        </is>
      </c>
      <c r="D110" t="inlineStr">
        <is>
          <t>BioTek MultiFlo FX</t>
        </is>
      </c>
      <c r="E110"/>
      <c r="F110" t="inlineStr">
        <is>
          <t>asset</t>
        </is>
      </c>
      <c r="G110" t="inlineStr">
        <is>
          <t>URDF可用</t>
        </is>
      </c>
      <c r="H110" t="inlineStr">
        <is>
          <t>asset</t>
        </is>
      </c>
      <c r="I110" t="inlineStr">
        <is>
          <t>asset</t>
        </is>
      </c>
      <c r="J110" t="inlineStr">
        <is>
          <t>不适用</t>
        </is>
      </c>
      <c r="K110" t="inlineStr">
        <is>
          <t>不适用</t>
        </is>
      </c>
      <c r="L110" t="inlineStr">
        <is>
          <t>待确认</t>
        </is>
      </c>
      <c r="M110" t="inlineStr">
        <is>
          <t>模型库扩展候选；设备类别：分液器；模型ID：biotek_multiflo_fx；URDF级别：L2；备注：微板分液器，PLR 未支持。</t>
        </is>
      </c>
      <c r="N110" t="inlineStr">
        <is>
          <t>asset</t>
        </is>
      </c>
      <c r="O110" t="inlineStr">
        <is>
          <t>HW-2 高通量自动化表达与克隆筛选</t>
        </is>
      </c>
      <c r="P110" t="inlineStr">
        <is>
          <t>asset:模型库扩展候选</t>
        </is>
      </c>
      <c r="Q110" t="inlineStr">
        <is>
          <t>pylabrobot_extension:14</t>
        </is>
      </c>
      <c r="R110" t="inlineStr">
        <is>
          <t>asset</t>
        </is>
      </c>
      <c r="S110" t="inlineStr">
        <is>
          <t>中</t>
        </is>
      </c>
      <c r="T110" t="inlineStr">
        <is>
          <t>来源工作簿 pylabrobot_model_coverage.xlsx / 模型库扩展候选 第14行；模型ID：biotek_multiflo_fx；Mesh：完整度表未列出；关节：完整度表未列出。</t>
        </is>
      </c>
      <c r="U110" s="2" t="str">
        <f>=HYPERLINK("http://uni-lab-assets / pylabrobot_models", "uni-lab-assets / pylabrobot_models")</f>
        <v>uni-lab-assets / pylabrobot_models</v>
      </c>
      <c r="V110" s="2" t="str">
        <f>=HYPERLINK("http://北京实验室/pylabrobot_model_coverage.xlsx", "北京实验室/pylabrobot_model_coverage.xlsx")</f>
        <v>北京实验室/pylabrobot_model_coverage.xlsx</v>
      </c>
      <c r="W110" t="inlineStr">
        <is>
          <t>资产库已有3D/URDF模型（L2），但PLR可能未官方支持；可作为自动化仿真资产候选，无需结构化尺寸。</t>
        </is>
      </c>
      <c r="X110" t="inlineStr">
        <is>
          <t>高通量自动化液体处理工作站 / 灵活8通道移液工作站 / 96通道移液工作站</t>
        </is>
      </c>
      <c r="Y110"/>
      <c r="Z110"/>
    </row>
    <row r="111" ht="25.5" customHeight="1">
      <c r="A111" t="inlineStr">
        <is>
          <t>Thermo KingFisher Flex</t>
        </is>
      </c>
      <c r="B111" t="inlineStr">
        <is>
          <t>HW-2 高通量自动化表达与克隆筛选</t>
        </is>
      </c>
      <c r="C111" t="inlineStr">
        <is>
          <t>磁珠纯化</t>
        </is>
      </c>
      <c r="D111" t="inlineStr">
        <is>
          <t>Thermo KingFisher Flex</t>
        </is>
      </c>
      <c r="E111"/>
      <c r="F111" t="inlineStr">
        <is>
          <t>asset</t>
        </is>
      </c>
      <c r="G111" t="inlineStr">
        <is>
          <t>URDF可用</t>
        </is>
      </c>
      <c r="H111" t="inlineStr">
        <is>
          <t>asset</t>
        </is>
      </c>
      <c r="I111" t="inlineStr">
        <is>
          <t>asset</t>
        </is>
      </c>
      <c r="J111" t="inlineStr">
        <is>
          <t>不适用</t>
        </is>
      </c>
      <c r="K111" t="inlineStr">
        <is>
          <t>不适用</t>
        </is>
      </c>
      <c r="L111" t="inlineStr">
        <is>
          <t>待确认</t>
        </is>
      </c>
      <c r="M111" t="inlineStr">
        <is>
          <t>模型库扩展候选；设备类别：磁珠纯化；模型ID：thermo_kingfisher_flex；URDF级别：L2；备注：PLR 未支持。</t>
        </is>
      </c>
      <c r="N111" t="inlineStr">
        <is>
          <t>asset</t>
        </is>
      </c>
      <c r="O111" t="inlineStr">
        <is>
          <t>HW-2 高通量自动化表达与克隆筛选</t>
        </is>
      </c>
      <c r="P111" t="inlineStr">
        <is>
          <t>asset:模型库扩展候选</t>
        </is>
      </c>
      <c r="Q111" t="inlineStr">
        <is>
          <t>pylabrobot_extension:15</t>
        </is>
      </c>
      <c r="R111" t="inlineStr">
        <is>
          <t>asset</t>
        </is>
      </c>
      <c r="S111" t="inlineStr">
        <is>
          <t>中</t>
        </is>
      </c>
      <c r="T111" t="inlineStr">
        <is>
          <t>来源工作簿 pylabrobot_model_coverage.xlsx / 模型库扩展候选 第15行；模型ID：thermo_kingfisher_flex；Mesh：完整度表未列出；关节：完整度表未列出。</t>
        </is>
      </c>
      <c r="U111" s="2" t="str">
        <f>=HYPERLINK("http://uni-lab-assets / pylabrobot_models", "uni-lab-assets / pylabrobot_models")</f>
        <v>uni-lab-assets / pylabrobot_models</v>
      </c>
      <c r="V111" s="2" t="str">
        <f>=HYPERLINK("http://北京实验室/pylabrobot_model_coverage.xlsx", "北京实验室/pylabrobot_model_coverage.xlsx")</f>
        <v>北京实验室/pylabrobot_model_coverage.xlsx</v>
      </c>
      <c r="W111" t="inlineStr">
        <is>
          <t>资产库已有3D/URDF模型（L2），但PLR可能未官方支持；可作为自动化仿真资产候选，无需结构化尺寸。</t>
        </is>
      </c>
      <c r="X111" t="inlineStr">
        <is>
          <t>HW-2 其他仪器</t>
        </is>
      </c>
      <c r="Y111"/>
      <c r="Z111"/>
    </row>
    <row r="112" ht="25.5" customHeight="1">
      <c r="A112" t="inlineStr">
        <is>
          <t>Thermo KingFisher Presto</t>
        </is>
      </c>
      <c r="B112" t="inlineStr">
        <is>
          <t>HW-2 高通量自动化表达与克隆筛选</t>
        </is>
      </c>
      <c r="C112" t="inlineStr">
        <is>
          <t>磁珠纯化</t>
        </is>
      </c>
      <c r="D112" t="inlineStr">
        <is>
          <t>Thermo KingFisher Presto</t>
        </is>
      </c>
      <c r="E112"/>
      <c r="F112" t="inlineStr">
        <is>
          <t>asset</t>
        </is>
      </c>
      <c r="G112" t="inlineStr">
        <is>
          <t>URDF可用</t>
        </is>
      </c>
      <c r="H112" t="inlineStr">
        <is>
          <t>asset</t>
        </is>
      </c>
      <c r="I112" t="inlineStr">
        <is>
          <t>asset</t>
        </is>
      </c>
      <c r="J112" t="inlineStr">
        <is>
          <t>不适用</t>
        </is>
      </c>
      <c r="K112" t="inlineStr">
        <is>
          <t>不适用</t>
        </is>
      </c>
      <c r="L112" t="inlineStr">
        <is>
          <t>待确认</t>
        </is>
      </c>
      <c r="M112" t="inlineStr">
        <is>
          <t>模型库扩展候选；设备类别：磁珠纯化；模型ID：thermo_kingfisher_presto；URDF级别：L2；备注：PLR 未支持。</t>
        </is>
      </c>
      <c r="N112" t="inlineStr">
        <is>
          <t>asset</t>
        </is>
      </c>
      <c r="O112" t="inlineStr">
        <is>
          <t>HW-2 高通量自动化表达与克隆筛选</t>
        </is>
      </c>
      <c r="P112" t="inlineStr">
        <is>
          <t>asset:模型库扩展候选</t>
        </is>
      </c>
      <c r="Q112" t="inlineStr">
        <is>
          <t>pylabrobot_extension:16</t>
        </is>
      </c>
      <c r="R112" t="inlineStr">
        <is>
          <t>asset</t>
        </is>
      </c>
      <c r="S112" t="inlineStr">
        <is>
          <t>中</t>
        </is>
      </c>
      <c r="T112" t="inlineStr">
        <is>
          <t>来源工作簿 pylabrobot_model_coverage.xlsx / 模型库扩展候选 第16行；模型ID：thermo_kingfisher_presto；Mesh：完整度表未列出；关节：完整度表未列出。</t>
        </is>
      </c>
      <c r="U112" s="2" t="str">
        <f>=HYPERLINK("http://uni-lab-assets / pylabrobot_models", "uni-lab-assets / pylabrobot_models")</f>
        <v>uni-lab-assets / pylabrobot_models</v>
      </c>
      <c r="V112" s="2" t="str">
        <f>=HYPERLINK("http://北京实验室/pylabrobot_model_coverage.xlsx", "北京实验室/pylabrobot_model_coverage.xlsx")</f>
        <v>北京实验室/pylabrobot_model_coverage.xlsx</v>
      </c>
      <c r="W112" t="inlineStr">
        <is>
          <t>资产库已有3D/URDF模型（L2），但PLR可能未官方支持；可作为自动化仿真资产候选，无需结构化尺寸。</t>
        </is>
      </c>
      <c r="X112" t="inlineStr">
        <is>
          <t>HW-2 其他仪器</t>
        </is>
      </c>
      <c r="Y112"/>
      <c r="Z112"/>
    </row>
    <row r="113" ht="25.5" customHeight="1">
      <c r="A113" t="inlineStr">
        <is>
          <t>Agilent TapeStation 4150</t>
        </is>
      </c>
      <c r="B113" t="inlineStr">
        <is>
          <t>HW-2 高通量自动化表达与克隆筛选</t>
        </is>
      </c>
      <c r="C113" t="inlineStr">
        <is>
          <t>核酸分析</t>
        </is>
      </c>
      <c r="D113" t="inlineStr">
        <is>
          <t>Agilent TapeStation 4150</t>
        </is>
      </c>
      <c r="E113"/>
      <c r="F113" t="inlineStr">
        <is>
          <t>asset</t>
        </is>
      </c>
      <c r="G113" t="inlineStr">
        <is>
          <t>URDF可用</t>
        </is>
      </c>
      <c r="H113" t="inlineStr">
        <is>
          <t>asset</t>
        </is>
      </c>
      <c r="I113" t="inlineStr">
        <is>
          <t>asset</t>
        </is>
      </c>
      <c r="J113" t="inlineStr">
        <is>
          <t>不适用</t>
        </is>
      </c>
      <c r="K113" t="inlineStr">
        <is>
          <t>不适用</t>
        </is>
      </c>
      <c r="L113" t="inlineStr">
        <is>
          <t>待确认</t>
        </is>
      </c>
      <c r="M113" t="inlineStr">
        <is>
          <t>模型库扩展候选；设备类别：核酸分析；模型ID：agilent_tapestation_4150；URDF级别：L2；备注：PLR 未支持。</t>
        </is>
      </c>
      <c r="N113" t="inlineStr">
        <is>
          <t>asset</t>
        </is>
      </c>
      <c r="O113" t="inlineStr">
        <is>
          <t>HW-4 发酵过程在线监测与蛋白稳定性表征</t>
        </is>
      </c>
      <c r="P113" t="inlineStr">
        <is>
          <t>asset:模型库扩展候选</t>
        </is>
      </c>
      <c r="Q113" t="inlineStr">
        <is>
          <t>pylabrobot_extension:17</t>
        </is>
      </c>
      <c r="R113" t="inlineStr">
        <is>
          <t>asset</t>
        </is>
      </c>
      <c r="S113" t="inlineStr">
        <is>
          <t>中</t>
        </is>
      </c>
      <c r="T113" t="inlineStr">
        <is>
          <t>来源工作簿 pylabrobot_model_coverage.xlsx / 模型库扩展候选 第17行；模型ID：agilent_tapestation_4150；Mesh：完整度表未列出；关节：完整度表未列出。</t>
        </is>
      </c>
      <c r="U113" s="2" t="str">
        <f>=HYPERLINK("http://uni-lab-assets / pylabrobot_models", "uni-lab-assets / pylabrobot_models")</f>
        <v>uni-lab-assets / pylabrobot_models</v>
      </c>
      <c r="V113" s="2" t="str">
        <f>=HYPERLINK("http://北京实验室/pylabrobot_model_coverage.xlsx", "北京实验室/pylabrobot_model_coverage.xlsx")</f>
        <v>北京实验室/pylabrobot_model_coverage.xlsx</v>
      </c>
      <c r="W113" t="inlineStr">
        <is>
          <t>资产库已有3D/URDF模型（L2），但PLR可能未官方支持；可作为自动化仿真资产候选，无需结构化尺寸。</t>
        </is>
      </c>
      <c r="X113" t="inlineStr">
        <is>
          <t>HW-2 其他仪器</t>
        </is>
      </c>
      <c r="Y113"/>
      <c r="Z113"/>
    </row>
    <row r="114" ht="25.5" customHeight="1">
      <c r="A114" t="inlineStr">
        <is>
          <t>Agilent TapeStation 4200</t>
        </is>
      </c>
      <c r="B114" t="inlineStr">
        <is>
          <t>HW-2 高通量自动化表达与克隆筛选</t>
        </is>
      </c>
      <c r="C114" t="inlineStr">
        <is>
          <t>核酸分析</t>
        </is>
      </c>
      <c r="D114" t="inlineStr">
        <is>
          <t>Agilent TapeStation 4200</t>
        </is>
      </c>
      <c r="E114"/>
      <c r="F114" t="inlineStr">
        <is>
          <t>asset</t>
        </is>
      </c>
      <c r="G114" t="inlineStr">
        <is>
          <t>URDF可用</t>
        </is>
      </c>
      <c r="H114" t="inlineStr">
        <is>
          <t>asset</t>
        </is>
      </c>
      <c r="I114" t="inlineStr">
        <is>
          <t>asset</t>
        </is>
      </c>
      <c r="J114" t="inlineStr">
        <is>
          <t>不适用</t>
        </is>
      </c>
      <c r="K114" t="inlineStr">
        <is>
          <t>不适用</t>
        </is>
      </c>
      <c r="L114" t="inlineStr">
        <is>
          <t>待确认</t>
        </is>
      </c>
      <c r="M114" t="inlineStr">
        <is>
          <t>模型库扩展候选；设备类别：核酸分析；模型ID：agilent_tapestation_4200；URDF级别：L2；备注：PLR 未支持。</t>
        </is>
      </c>
      <c r="N114" t="inlineStr">
        <is>
          <t>asset</t>
        </is>
      </c>
      <c r="O114" t="inlineStr">
        <is>
          <t>HW-4 发酵过程在线监测与蛋白稳定性表征</t>
        </is>
      </c>
      <c r="P114" t="inlineStr">
        <is>
          <t>asset:模型库扩展候选</t>
        </is>
      </c>
      <c r="Q114" t="inlineStr">
        <is>
          <t>pylabrobot_extension:18</t>
        </is>
      </c>
      <c r="R114" t="inlineStr">
        <is>
          <t>asset</t>
        </is>
      </c>
      <c r="S114" t="inlineStr">
        <is>
          <t>中</t>
        </is>
      </c>
      <c r="T114" t="inlineStr">
        <is>
          <t>来源工作簿 pylabrobot_model_coverage.xlsx / 模型库扩展候选 第18行；模型ID：agilent_tapestation_4200；Mesh：完整度表未列出；关节：完整度表未列出。</t>
        </is>
      </c>
      <c r="U114" s="2" t="str">
        <f>=HYPERLINK("http://uni-lab-assets / pylabrobot_models", "uni-lab-assets / pylabrobot_models")</f>
        <v>uni-lab-assets / pylabrobot_models</v>
      </c>
      <c r="V114" s="2" t="str">
        <f>=HYPERLINK("http://北京实验室/pylabrobot_model_coverage.xlsx", "北京实验室/pylabrobot_model_coverage.xlsx")</f>
        <v>北京实验室/pylabrobot_model_coverage.xlsx</v>
      </c>
      <c r="W114" t="inlineStr">
        <is>
          <t>资产库已有3D/URDF模型（L2），但PLR可能未官方支持；可作为自动化仿真资产候选，无需结构化尺寸。</t>
        </is>
      </c>
      <c r="X114" t="inlineStr">
        <is>
          <t>HW-2 其他仪器</t>
        </is>
      </c>
      <c r="Y114"/>
      <c r="Z114"/>
    </row>
    <row r="115" ht="25.5" customHeight="1">
      <c r="A115" t="inlineStr">
        <is>
          <t>Beckman Coulter Echo 525</t>
        </is>
      </c>
      <c r="B115" t="inlineStr">
        <is>
          <t>HW-2 高通量自动化表达与克隆筛选</t>
        </is>
      </c>
      <c r="C115" t="inlineStr">
        <is>
          <t>声学液体处理</t>
        </is>
      </c>
      <c r="D115" t="inlineStr">
        <is>
          <t>Beckman Coulter Echo 525</t>
        </is>
      </c>
      <c r="E115"/>
      <c r="F115" t="inlineStr">
        <is>
          <t>asset</t>
        </is>
      </c>
      <c r="G115" t="inlineStr">
        <is>
          <t>URDF可用</t>
        </is>
      </c>
      <c r="H115" t="inlineStr">
        <is>
          <t>asset</t>
        </is>
      </c>
      <c r="I115" t="inlineStr">
        <is>
          <t>asset</t>
        </is>
      </c>
      <c r="J115" t="inlineStr">
        <is>
          <t>不适用</t>
        </is>
      </c>
      <c r="K115" t="inlineStr">
        <is>
          <t>不适用</t>
        </is>
      </c>
      <c r="L115" t="inlineStr">
        <is>
          <t>待确认</t>
        </is>
      </c>
      <c r="M115" t="inlineStr">
        <is>
          <t>模型库扩展候选；设备类别：声学液体处理；模型ID：beckman_coulter_echo_525；URDF级别：L2；备注：PLR 未支持。</t>
        </is>
      </c>
      <c r="N115" t="inlineStr">
        <is>
          <t>asset</t>
        </is>
      </c>
      <c r="O115" t="inlineStr">
        <is>
          <t>HW-2 高通量自动化表达与克隆筛选</t>
        </is>
      </c>
      <c r="P115" t="inlineStr">
        <is>
          <t>asset:模型库扩展候选</t>
        </is>
      </c>
      <c r="Q115" t="inlineStr">
        <is>
          <t>pylabrobot_extension:19</t>
        </is>
      </c>
      <c r="R115" t="inlineStr">
        <is>
          <t>asset</t>
        </is>
      </c>
      <c r="S115" t="inlineStr">
        <is>
          <t>中</t>
        </is>
      </c>
      <c r="T115" t="inlineStr">
        <is>
          <t>来源工作簿 pylabrobot_model_coverage.xlsx / 模型库扩展候选 第19行；模型ID：beckman_coulter_echo_525；Mesh：完整度表未列出；关节：完整度表未列出。</t>
        </is>
      </c>
      <c r="U115" s="2" t="str">
        <f>=HYPERLINK("http://uni-lab-assets / pylabrobot_models", "uni-lab-assets / pylabrobot_models")</f>
        <v>uni-lab-assets / pylabrobot_models</v>
      </c>
      <c r="V115" s="2" t="str">
        <f>=HYPERLINK("http://北京实验室/pylabrobot_model_coverage.xlsx", "北京实验室/pylabrobot_model_coverage.xlsx")</f>
        <v>北京实验室/pylabrobot_model_coverage.xlsx</v>
      </c>
      <c r="W115" t="inlineStr">
        <is>
          <t>资产库已有3D/URDF模型（L2），但PLR可能未官方支持；可作为自动化仿真资产候选，无需结构化尺寸。</t>
        </is>
      </c>
      <c r="X115" t="inlineStr">
        <is>
          <t>高通量自动化液体处理工作站 / 灵活8通道移液工作站 / 96通道移液工作站</t>
        </is>
      </c>
      <c r="Y115"/>
      <c r="Z115"/>
    </row>
    <row r="116" ht="25.5" customHeight="1">
      <c r="A116" t="inlineStr">
        <is>
          <t>Beckman Coulter Echo 650</t>
        </is>
      </c>
      <c r="B116" t="inlineStr">
        <is>
          <t>HW-2 高通量自动化表达与克隆筛选</t>
        </is>
      </c>
      <c r="C116" t="inlineStr">
        <is>
          <t>声学液体处理</t>
        </is>
      </c>
      <c r="D116" t="inlineStr">
        <is>
          <t>Beckman Coulter Echo 650</t>
        </is>
      </c>
      <c r="E116"/>
      <c r="F116" t="inlineStr">
        <is>
          <t>asset</t>
        </is>
      </c>
      <c r="G116" t="inlineStr">
        <is>
          <t>URDF可用</t>
        </is>
      </c>
      <c r="H116" t="inlineStr">
        <is>
          <t>asset</t>
        </is>
      </c>
      <c r="I116" t="inlineStr">
        <is>
          <t>asset</t>
        </is>
      </c>
      <c r="J116" t="inlineStr">
        <is>
          <t>不适用</t>
        </is>
      </c>
      <c r="K116" t="inlineStr">
        <is>
          <t>不适用</t>
        </is>
      </c>
      <c r="L116" t="inlineStr">
        <is>
          <t>待确认</t>
        </is>
      </c>
      <c r="M116" t="inlineStr">
        <is>
          <t>模型库扩展候选；设备类别：声学液体处理；模型ID：beckman_coulter_echo_650；URDF级别：L2；备注：PLR 未支持。</t>
        </is>
      </c>
      <c r="N116" t="inlineStr">
        <is>
          <t>asset</t>
        </is>
      </c>
      <c r="O116" t="inlineStr">
        <is>
          <t>HW-2 高通量自动化表达与克隆筛选</t>
        </is>
      </c>
      <c r="P116" t="inlineStr">
        <is>
          <t>asset:模型库扩展候选</t>
        </is>
      </c>
      <c r="Q116" t="inlineStr">
        <is>
          <t>pylabrobot_extension:20</t>
        </is>
      </c>
      <c r="R116" t="inlineStr">
        <is>
          <t>asset</t>
        </is>
      </c>
      <c r="S116" t="inlineStr">
        <is>
          <t>中</t>
        </is>
      </c>
      <c r="T116" t="inlineStr">
        <is>
          <t>来源工作簿 pylabrobot_model_coverage.xlsx / 模型库扩展候选 第20行；模型ID：beckman_coulter_echo_650；Mesh：完整度表未列出；关节：完整度表未列出。</t>
        </is>
      </c>
      <c r="U116" s="2" t="str">
        <f>=HYPERLINK("http://uni-lab-assets / pylabrobot_models", "uni-lab-assets / pylabrobot_models")</f>
        <v>uni-lab-assets / pylabrobot_models</v>
      </c>
      <c r="V116" s="2" t="str">
        <f>=HYPERLINK("http://北京实验室/pylabrobot_model_coverage.xlsx", "北京实验室/pylabrobot_model_coverage.xlsx")</f>
        <v>北京实验室/pylabrobot_model_coverage.xlsx</v>
      </c>
      <c r="W116" t="inlineStr">
        <is>
          <t>资产库已有3D/URDF模型（L2），但PLR可能未官方支持；可作为自动化仿真资产候选，无需结构化尺寸。</t>
        </is>
      </c>
      <c r="X116" t="inlineStr">
        <is>
          <t>高通量自动化液体处理工作站 / 灵活8通道移液工作站 / 96通道移液工作站</t>
        </is>
      </c>
      <c r="Y116"/>
      <c r="Z116"/>
    </row>
    <row r="117" ht="25.5" customHeight="1">
      <c r="A117" t="inlineStr">
        <is>
          <t>Dynamic Devices Lynx 900</t>
        </is>
      </c>
      <c r="B117" t="inlineStr">
        <is>
          <t>HW-2 高通量自动化表达与克隆筛选</t>
        </is>
      </c>
      <c r="C117" t="inlineStr">
        <is>
          <t>机械臂</t>
        </is>
      </c>
      <c r="D117" t="inlineStr">
        <is>
          <t>Dynamic Devices Lynx 900</t>
        </is>
      </c>
      <c r="E117"/>
      <c r="F117" t="inlineStr">
        <is>
          <t>asset</t>
        </is>
      </c>
      <c r="G117" t="inlineStr">
        <is>
          <t>URDF可用</t>
        </is>
      </c>
      <c r="H117" t="inlineStr">
        <is>
          <t>asset</t>
        </is>
      </c>
      <c r="I117" t="inlineStr">
        <is>
          <t>asset</t>
        </is>
      </c>
      <c r="J117" t="inlineStr">
        <is>
          <t>不适用</t>
        </is>
      </c>
      <c r="K117" t="inlineStr">
        <is>
          <t>不适用</t>
        </is>
      </c>
      <c r="L117" t="inlineStr">
        <is>
          <t>待确认</t>
        </is>
      </c>
      <c r="M117" t="inlineStr">
        <is>
          <t>模型库扩展候选；设备类别：机械臂；模型ID：dynamic_devices_lynx_900；URDF级别：L2；备注：PLR 未支持。</t>
        </is>
      </c>
      <c r="N117" t="inlineStr">
        <is>
          <t>asset</t>
        </is>
      </c>
      <c r="O117" t="inlineStr">
        <is>
          <t>HW-2 高通量自动化表达与克隆筛选</t>
        </is>
      </c>
      <c r="P117" t="inlineStr">
        <is>
          <t>asset:模型库扩展候选</t>
        </is>
      </c>
      <c r="Q117" t="inlineStr">
        <is>
          <t>pylabrobot_extension:21</t>
        </is>
      </c>
      <c r="R117" t="inlineStr">
        <is>
          <t>asset</t>
        </is>
      </c>
      <c r="S117" t="inlineStr">
        <is>
          <t>中</t>
        </is>
      </c>
      <c r="T117" t="inlineStr">
        <is>
          <t>来源工作簿 pylabrobot_model_coverage.xlsx / 模型库扩展候选 第21行；模型ID：dynamic_devices_lynx_900；Mesh：完整度表未列出；关节：完整度表未列出。</t>
        </is>
      </c>
      <c r="U117" s="2" t="str">
        <f>=HYPERLINK("http://uni-lab-assets / pylabrobot_models", "uni-lab-assets / pylabrobot_models")</f>
        <v>uni-lab-assets / pylabrobot_models</v>
      </c>
      <c r="V117" s="2" t="str">
        <f>=HYPERLINK("http://北京实验室/pylabrobot_model_coverage.xlsx", "北京实验室/pylabrobot_model_coverage.xlsx")</f>
        <v>北京实验室/pylabrobot_model_coverage.xlsx</v>
      </c>
      <c r="W117" t="inlineStr">
        <is>
          <t>资产库已有3D/URDF模型（L2），但PLR可能未官方支持；可作为自动化仿真资产候选，无需结构化尺寸。</t>
        </is>
      </c>
      <c r="X117" t="inlineStr">
        <is>
          <t>机械臂/协作机器人（自动化集成）</t>
        </is>
      </c>
      <c r="Y117"/>
      <c r="Z117"/>
    </row>
    <row r="118" ht="25.5" customHeight="1">
      <c r="A118" t="inlineStr">
        <is>
          <t>Dynamic Devices Lynx 1200</t>
        </is>
      </c>
      <c r="B118" t="inlineStr">
        <is>
          <t>HW-2 高通量自动化表达与克隆筛选</t>
        </is>
      </c>
      <c r="C118" t="inlineStr">
        <is>
          <t>机械臂</t>
        </is>
      </c>
      <c r="D118" t="inlineStr">
        <is>
          <t>Dynamic Devices Lynx 1200</t>
        </is>
      </c>
      <c r="E118"/>
      <c r="F118" t="inlineStr">
        <is>
          <t>asset</t>
        </is>
      </c>
      <c r="G118" t="inlineStr">
        <is>
          <t>URDF可用</t>
        </is>
      </c>
      <c r="H118" t="inlineStr">
        <is>
          <t>asset</t>
        </is>
      </c>
      <c r="I118" t="inlineStr">
        <is>
          <t>asset</t>
        </is>
      </c>
      <c r="J118" t="inlineStr">
        <is>
          <t>不适用</t>
        </is>
      </c>
      <c r="K118" t="inlineStr">
        <is>
          <t>不适用</t>
        </is>
      </c>
      <c r="L118" t="inlineStr">
        <is>
          <t>待确认</t>
        </is>
      </c>
      <c r="M118" t="inlineStr">
        <is>
          <t>模型库扩展候选；设备类别：机械臂；模型ID：dynamic_devices_lynx_1200；URDF级别：L2；备注：PLR 未支持。</t>
        </is>
      </c>
      <c r="N118" t="inlineStr">
        <is>
          <t>asset</t>
        </is>
      </c>
      <c r="O118" t="inlineStr">
        <is>
          <t>HW-2 高通量自动化表达与克隆筛选</t>
        </is>
      </c>
      <c r="P118" t="inlineStr">
        <is>
          <t>asset:模型库扩展候选</t>
        </is>
      </c>
      <c r="Q118" t="inlineStr">
        <is>
          <t>pylabrobot_extension:22</t>
        </is>
      </c>
      <c r="R118" t="inlineStr">
        <is>
          <t>asset</t>
        </is>
      </c>
      <c r="S118" t="inlineStr">
        <is>
          <t>中</t>
        </is>
      </c>
      <c r="T118" t="inlineStr">
        <is>
          <t>来源工作簿 pylabrobot_model_coverage.xlsx / 模型库扩展候选 第22行；模型ID：dynamic_devices_lynx_1200；Mesh：完整度表未列出；关节：完整度表未列出。</t>
        </is>
      </c>
      <c r="U118" s="2" t="str">
        <f>=HYPERLINK("http://uni-lab-assets / pylabrobot_models", "uni-lab-assets / pylabrobot_models")</f>
        <v>uni-lab-assets / pylabrobot_models</v>
      </c>
      <c r="V118" s="2" t="str">
        <f>=HYPERLINK("http://北京实验室/pylabrobot_model_coverage.xlsx", "北京实验室/pylabrobot_model_coverage.xlsx")</f>
        <v>北京实验室/pylabrobot_model_coverage.xlsx</v>
      </c>
      <c r="W118" t="inlineStr">
        <is>
          <t>资产库已有3D/URDF模型（L2），但PLR可能未官方支持；可作为自动化仿真资产候选，无需结构化尺寸。</t>
        </is>
      </c>
      <c r="X118" t="inlineStr">
        <is>
          <t>机械臂/协作机器人（自动化集成）</t>
        </is>
      </c>
      <c r="Y118"/>
      <c r="Z118"/>
    </row>
    <row r="119" ht="25.5" customHeight="1">
      <c r="A119" t="inlineStr">
        <is>
          <t>Dynamic Devices Lynx 1800</t>
        </is>
      </c>
      <c r="B119" t="inlineStr">
        <is>
          <t>HW-2 高通量自动化表达与克隆筛选</t>
        </is>
      </c>
      <c r="C119" t="inlineStr">
        <is>
          <t>机械臂</t>
        </is>
      </c>
      <c r="D119" t="inlineStr">
        <is>
          <t>Dynamic Devices Lynx 1800</t>
        </is>
      </c>
      <c r="E119"/>
      <c r="F119" t="inlineStr">
        <is>
          <t>asset</t>
        </is>
      </c>
      <c r="G119" t="inlineStr">
        <is>
          <t>URDF可用</t>
        </is>
      </c>
      <c r="H119" t="inlineStr">
        <is>
          <t>asset</t>
        </is>
      </c>
      <c r="I119" t="inlineStr">
        <is>
          <t>asset</t>
        </is>
      </c>
      <c r="J119" t="inlineStr">
        <is>
          <t>不适用</t>
        </is>
      </c>
      <c r="K119" t="inlineStr">
        <is>
          <t>不适用</t>
        </is>
      </c>
      <c r="L119" t="inlineStr">
        <is>
          <t>待确认</t>
        </is>
      </c>
      <c r="M119" t="inlineStr">
        <is>
          <t>模型库扩展候选；设备类别：机械臂；模型ID：dynamic_devices_lynx_1800；URDF级别：L2；备注：PLR 未支持。</t>
        </is>
      </c>
      <c r="N119" t="inlineStr">
        <is>
          <t>asset</t>
        </is>
      </c>
      <c r="O119" t="inlineStr">
        <is>
          <t>HW-2 高通量自动化表达与克隆筛选</t>
        </is>
      </c>
      <c r="P119" t="inlineStr">
        <is>
          <t>asset:模型库扩展候选</t>
        </is>
      </c>
      <c r="Q119" t="inlineStr">
        <is>
          <t>pylabrobot_extension:23</t>
        </is>
      </c>
      <c r="R119" t="inlineStr">
        <is>
          <t>asset</t>
        </is>
      </c>
      <c r="S119" t="inlineStr">
        <is>
          <t>中</t>
        </is>
      </c>
      <c r="T119" t="inlineStr">
        <is>
          <t>来源工作簿 pylabrobot_model_coverage.xlsx / 模型库扩展候选 第23行；模型ID：dynamic_devices_lynx_1800；Mesh：完整度表未列出；关节：完整度表未列出。</t>
        </is>
      </c>
      <c r="U119" s="2" t="str">
        <f>=HYPERLINK("http://uni-lab-assets / pylabrobot_models", "uni-lab-assets / pylabrobot_models")</f>
        <v>uni-lab-assets / pylabrobot_models</v>
      </c>
      <c r="V119" s="2" t="str">
        <f>=HYPERLINK("http://北京实验室/pylabrobot_model_coverage.xlsx", "北京实验室/pylabrobot_model_coverage.xlsx")</f>
        <v>北京实验室/pylabrobot_model_coverage.xlsx</v>
      </c>
      <c r="W119" t="inlineStr">
        <is>
          <t>资产库已有3D/URDF模型（L2），但PLR可能未官方支持；可作为自动化仿真资产候选，无需结构化尺寸。</t>
        </is>
      </c>
      <c r="X119" t="inlineStr">
        <is>
          <t>机械臂/协作机器人（自动化集成）</t>
        </is>
      </c>
      <c r="Y119"/>
      <c r="Z119"/>
    </row>
    <row r="120" ht="25.5" customHeight="1">
      <c r="A120" t="inlineStr">
        <is>
          <t>Thermo Orbitor RS2</t>
        </is>
      </c>
      <c r="B120" t="inlineStr">
        <is>
          <t>HW-2 高通量自动化表达与克隆筛选</t>
        </is>
      </c>
      <c r="C120" t="inlineStr">
        <is>
          <t>堆栈</t>
        </is>
      </c>
      <c r="D120" t="inlineStr">
        <is>
          <t>Thermo Orbitor RS2</t>
        </is>
      </c>
      <c r="E120"/>
      <c r="F120" t="inlineStr">
        <is>
          <t>asset</t>
        </is>
      </c>
      <c r="G120" t="inlineStr">
        <is>
          <t>URDF可用</t>
        </is>
      </c>
      <c r="H120" t="inlineStr">
        <is>
          <t>asset</t>
        </is>
      </c>
      <c r="I120" t="inlineStr">
        <is>
          <t>asset</t>
        </is>
      </c>
      <c r="J120" t="inlineStr">
        <is>
          <t>不适用</t>
        </is>
      </c>
      <c r="K120" t="inlineStr">
        <is>
          <t>不适用</t>
        </is>
      </c>
      <c r="L120" t="inlineStr">
        <is>
          <t>待确认</t>
        </is>
      </c>
      <c r="M120" t="inlineStr">
        <is>
          <t>模型库扩展候选；设备类别：板传输机器人；模型ID：thermo_orbitor_rs2；URDF级别：L2；备注：PLR 未支持。</t>
        </is>
      </c>
      <c r="N120" t="inlineStr">
        <is>
          <t>asset</t>
        </is>
      </c>
      <c r="O120" t="inlineStr">
        <is>
          <t>HW-2 高通量自动化表达与克隆筛选</t>
        </is>
      </c>
      <c r="P120" t="inlineStr">
        <is>
          <t>asset:模型库扩展候选</t>
        </is>
      </c>
      <c r="Q120" t="inlineStr">
        <is>
          <t>pylabrobot_extension:24</t>
        </is>
      </c>
      <c r="R120" t="inlineStr">
        <is>
          <t>asset</t>
        </is>
      </c>
      <c r="S120" t="inlineStr">
        <is>
          <t>中</t>
        </is>
      </c>
      <c r="T120" t="inlineStr">
        <is>
          <t>来源工作簿 pylabrobot_model_coverage.xlsx / 模型库扩展候选 第24行；模型ID：thermo_orbitor_rs2；Mesh：完整度表未列出；关节：完整度表未列出。</t>
        </is>
      </c>
      <c r="U120" s="2" t="str">
        <f>=HYPERLINK("http://uni-lab-assets / pylabrobot_models", "uni-lab-assets / pylabrobot_models")</f>
        <v>uni-lab-assets / pylabrobot_models</v>
      </c>
      <c r="V120" s="2" t="str">
        <f>=HYPERLINK("http://北京实验室/pylabrobot_model_coverage.xlsx", "北京实验室/pylabrobot_model_coverage.xlsx")</f>
        <v>北京实验室/pylabrobot_model_coverage.xlsx</v>
      </c>
      <c r="W120" t="inlineStr">
        <is>
          <t>资产库已有3D/URDF模型（L2），但PLR可能未官方支持；可作为自动化仿真资产候选，无需结构化尺寸。</t>
        </is>
      </c>
      <c r="X120" t="inlineStr">
        <is>
          <t>堆栈</t>
        </is>
      </c>
      <c r="Y120"/>
      <c r="Z120"/>
    </row>
    <row r="121" ht="25.5" customHeight="1">
      <c r="A121" t="inlineStr">
        <is>
          <t>Thermo Spinnaker</t>
        </is>
      </c>
      <c r="B121" t="inlineStr">
        <is>
          <t>HW-2 高通量自动化表达与克隆筛选</t>
        </is>
      </c>
      <c r="C121" t="inlineStr">
        <is>
          <t>堆栈</t>
        </is>
      </c>
      <c r="D121" t="inlineStr">
        <is>
          <t>Thermo Spinnaker</t>
        </is>
      </c>
      <c r="E121"/>
      <c r="F121" t="inlineStr">
        <is>
          <t>asset</t>
        </is>
      </c>
      <c r="G121" t="inlineStr">
        <is>
          <t>URDF可用</t>
        </is>
      </c>
      <c r="H121" t="inlineStr">
        <is>
          <t>asset</t>
        </is>
      </c>
      <c r="I121" t="inlineStr">
        <is>
          <t>asset</t>
        </is>
      </c>
      <c r="J121" t="inlineStr">
        <is>
          <t>不适用</t>
        </is>
      </c>
      <c r="K121" t="inlineStr">
        <is>
          <t>不适用</t>
        </is>
      </c>
      <c r="L121" t="inlineStr">
        <is>
          <t>待确认</t>
        </is>
      </c>
      <c r="M121" t="inlineStr">
        <is>
          <t>模型库扩展候选；设备类别：板传输机器人；模型ID：thermo_spinnaker；URDF级别：L2；备注：PLR 未支持。</t>
        </is>
      </c>
      <c r="N121" t="inlineStr">
        <is>
          <t>asset</t>
        </is>
      </c>
      <c r="O121" t="inlineStr">
        <is>
          <t>HW-2 高通量自动化表达与克隆筛选</t>
        </is>
      </c>
      <c r="P121" t="inlineStr">
        <is>
          <t>asset:模型库扩展候选</t>
        </is>
      </c>
      <c r="Q121" t="inlineStr">
        <is>
          <t>pylabrobot_extension:25</t>
        </is>
      </c>
      <c r="R121" t="inlineStr">
        <is>
          <t>asset</t>
        </is>
      </c>
      <c r="S121" t="inlineStr">
        <is>
          <t>中</t>
        </is>
      </c>
      <c r="T121" t="inlineStr">
        <is>
          <t>来源工作簿 pylabrobot_model_coverage.xlsx / 模型库扩展候选 第25行；模型ID：thermo_spinnaker；Mesh：完整度表未列出；关节：完整度表未列出。</t>
        </is>
      </c>
      <c r="U121" s="2" t="str">
        <f>=HYPERLINK("http://uni-lab-assets / pylabrobot_models", "uni-lab-assets / pylabrobot_models")</f>
        <v>uni-lab-assets / pylabrobot_models</v>
      </c>
      <c r="V121" s="2" t="str">
        <f>=HYPERLINK("http://北京实验室/pylabrobot_model_coverage.xlsx", "北京实验室/pylabrobot_model_coverage.xlsx")</f>
        <v>北京实验室/pylabrobot_model_coverage.xlsx</v>
      </c>
      <c r="W121" t="inlineStr">
        <is>
          <t>资产库已有3D/URDF模型（L2），但PLR可能未官方支持；可作为自动化仿真资产候选，无需结构化尺寸。</t>
        </is>
      </c>
      <c r="X121" t="inlineStr">
        <is>
          <t>堆栈</t>
        </is>
      </c>
      <c r="Y121"/>
      <c r="Z121"/>
    </row>
    <row r="122" ht="25.5" customHeight="1">
      <c r="A122" t="inlineStr">
        <is>
          <t>Analytik Jena TRobot II</t>
        </is>
      </c>
      <c r="B122" t="inlineStr">
        <is>
          <t>HW-2 高通量自动化表达与克隆筛选</t>
        </is>
      </c>
      <c r="C122" t="inlineStr">
        <is>
          <t>试管传输</t>
        </is>
      </c>
      <c r="D122" t="inlineStr">
        <is>
          <t>Analytik Jena TRobot II</t>
        </is>
      </c>
      <c r="E122"/>
      <c r="F122" t="inlineStr">
        <is>
          <t>asset</t>
        </is>
      </c>
      <c r="G122" t="inlineStr">
        <is>
          <t>URDF可用</t>
        </is>
      </c>
      <c r="H122" t="inlineStr">
        <is>
          <t>asset</t>
        </is>
      </c>
      <c r="I122" t="inlineStr">
        <is>
          <t>asset</t>
        </is>
      </c>
      <c r="J122" t="inlineStr">
        <is>
          <t>不适用</t>
        </is>
      </c>
      <c r="K122" t="inlineStr">
        <is>
          <t>不适用</t>
        </is>
      </c>
      <c r="L122" t="inlineStr">
        <is>
          <t>待确认</t>
        </is>
      </c>
      <c r="M122" t="inlineStr">
        <is>
          <t>模型库扩展候选；设备类别：试管传输；模型ID：analytik_jena_trobot；URDF级别：L2；备注：PLR 未支持。</t>
        </is>
      </c>
      <c r="N122" t="inlineStr">
        <is>
          <t>asset</t>
        </is>
      </c>
      <c r="O122" t="inlineStr">
        <is>
          <t>HW-2 高通量自动化表达与克隆筛选</t>
        </is>
      </c>
      <c r="P122" t="inlineStr">
        <is>
          <t>asset:模型库扩展候选</t>
        </is>
      </c>
      <c r="Q122" t="inlineStr">
        <is>
          <t>pylabrobot_extension:26</t>
        </is>
      </c>
      <c r="R122" t="inlineStr">
        <is>
          <t>asset</t>
        </is>
      </c>
      <c r="S122" t="inlineStr">
        <is>
          <t>中</t>
        </is>
      </c>
      <c r="T122" t="inlineStr">
        <is>
          <t>来源工作簿 pylabrobot_model_coverage.xlsx / 模型库扩展候选 第26行；模型ID：analytik_jena_trobot；Mesh：完整度表未列出；关节：完整度表未列出。</t>
        </is>
      </c>
      <c r="U122" s="2" t="str">
        <f>=HYPERLINK("http://uni-lab-assets / pylabrobot_models", "uni-lab-assets / pylabrobot_models")</f>
        <v>uni-lab-assets / pylabrobot_models</v>
      </c>
      <c r="V122" s="2" t="str">
        <f>=HYPERLINK("http://北京实验室/pylabrobot_model_coverage.xlsx", "北京实验室/pylabrobot_model_coverage.xlsx")</f>
        <v>北京实验室/pylabrobot_model_coverage.xlsx</v>
      </c>
      <c r="W122" t="inlineStr">
        <is>
          <t>资产库已有3D/URDF模型（L2），但PLR可能未官方支持；可作为自动化仿真资产候选，无需结构化尺寸。</t>
        </is>
      </c>
      <c r="X122" t="inlineStr">
        <is>
          <t>HW-2 其他仪器</t>
        </is>
      </c>
      <c r="Y122"/>
      <c r="Z122"/>
    </row>
    <row r="123" ht="25.5" customHeight="1">
      <c r="A123"/>
      <c r="B123"/>
      <c r="C123"/>
      <c r="D123"/>
      <c r="E123"/>
      <c r="F123"/>
      <c r="G123"/>
      <c r="H123"/>
      <c r="I123"/>
      <c r="J123"/>
      <c r="K123"/>
      <c r="L123"/>
      <c r="M123"/>
      <c r="N123"/>
      <c r="O123"/>
      <c r="P123"/>
      <c r="Q123"/>
      <c r="R123"/>
      <c r="S123"/>
      <c r="T123"/>
      <c r="U123" s="2"/>
      <c r="V123" s="2"/>
      <c r="W123"/>
      <c r="X123"/>
      <c r="Y123"/>
      <c r="Z123"/>
    </row>
    <row r="124" ht="25.5" customHeight="1">
      <c r="A124" t="inlineStr">
        <is>
          <t>封膜机</t>
        </is>
      </c>
      <c r="B124" t="inlineStr">
        <is>
          <t>HW-2 高通量自动化表达与克隆筛选</t>
        </is>
      </c>
      <c r="C124" t="inlineStr">
        <is>
          <t>封膜机</t>
        </is>
      </c>
      <c r="D124" t="inlineStr">
        <is>
          <t>通用</t>
        </is>
      </c>
      <c r="E124"/>
      <c r="F124" t="inlineStr">
        <is>
          <t>流程</t>
        </is>
      </c>
      <c r="G124"/>
      <c r="H124"/>
      <c r="I124"/>
      <c r="J124"/>
      <c r="K124"/>
      <c r="L124"/>
      <c r="M124" t="inlineStr">
        <is>
          <t>通用厂商仪器；流程PPT出现：封膜机；用于PCR/组装/表达等步骤封膜。</t>
        </is>
      </c>
      <c r="N124"/>
      <c r="O124" t="inlineStr">
        <is>
          <t>HW-2 高通量自动化表达与克隆筛选</t>
        </is>
      </c>
      <c r="P124" t="inlineStr">
        <is>
          <t>流程PPT设备</t>
        </is>
      </c>
      <c r="Q124"/>
      <c r="R124"/>
      <c r="S124"/>
      <c r="T124"/>
      <c r="U124" s="2"/>
      <c r="V124" s="2"/>
      <c r="W124"/>
      <c r="X124" t="inlineStr">
        <is>
          <t>HW-2 高通量自动化表达与克隆筛选</t>
        </is>
      </c>
      <c r="Y124"/>
      <c r="Z124"/>
    </row>
    <row r="125" ht="25.5" customHeight="1">
      <c r="A125" t="inlineStr">
        <is>
          <t>撕膜机</t>
        </is>
      </c>
      <c r="B125" t="inlineStr">
        <is>
          <t>HW-2 高通量自动化表达与克隆筛选</t>
        </is>
      </c>
      <c r="C125" t="inlineStr">
        <is>
          <t>撕膜机</t>
        </is>
      </c>
      <c r="D125" t="inlineStr">
        <is>
          <t>通用</t>
        </is>
      </c>
      <c r="E125"/>
      <c r="F125" t="inlineStr">
        <is>
          <t>流程</t>
        </is>
      </c>
      <c r="G125"/>
      <c r="H125"/>
      <c r="I125"/>
      <c r="J125"/>
      <c r="K125"/>
      <c r="L125"/>
      <c r="M125" t="inlineStr">
        <is>
          <t>通用厂商仪器；流程PPT出现：撕膜机；用于PCR/组装/表达等步骤撕膜。</t>
        </is>
      </c>
      <c r="N125"/>
      <c r="O125" t="inlineStr">
        <is>
          <t>HW-2 高通量自动化表达与克隆筛选</t>
        </is>
      </c>
      <c r="P125" t="inlineStr">
        <is>
          <t>流程PPT设备</t>
        </is>
      </c>
      <c r="Q125"/>
      <c r="R125"/>
      <c r="S125"/>
      <c r="T125"/>
      <c r="U125" s="2"/>
      <c r="V125" s="2"/>
      <c r="W125"/>
      <c r="X125" t="inlineStr">
        <is>
          <t>HW-2 高通量自动化表达与克隆筛选</t>
        </is>
      </c>
      <c r="Y125"/>
      <c r="Z125"/>
    </row>
    <row r="126" ht="25.5" customHeight="1">
      <c r="A126" t="inlineStr">
        <is>
          <t>PCR仪</t>
        </is>
      </c>
      <c r="B126" t="inlineStr">
        <is>
          <t>HW-2 高通量自动化表达与克隆筛选</t>
        </is>
      </c>
      <c r="C126" t="inlineStr">
        <is>
          <t>PCR仪</t>
        </is>
      </c>
      <c r="D126" t="inlineStr">
        <is>
          <t>通用</t>
        </is>
      </c>
      <c r="E126"/>
      <c r="F126" t="inlineStr">
        <is>
          <t>流程</t>
        </is>
      </c>
      <c r="G126"/>
      <c r="H126"/>
      <c r="I126"/>
      <c r="J126"/>
      <c r="K126"/>
      <c r="L126"/>
      <c r="M126" t="inlineStr">
        <is>
          <t>通用厂商仪器；流程PPT出现：PCR仪；用于扩增反应、酶切/重组/体外表达相关温控反应。</t>
        </is>
      </c>
      <c r="N126"/>
      <c r="O126" t="inlineStr">
        <is>
          <t>HW-2 高通量自动化表达与克隆筛选</t>
        </is>
      </c>
      <c r="P126" t="inlineStr">
        <is>
          <t>流程PPT设备</t>
        </is>
      </c>
      <c r="Q126"/>
      <c r="R126"/>
      <c r="S126"/>
      <c r="T126"/>
      <c r="U126" s="2"/>
      <c r="V126" s="2"/>
      <c r="W126"/>
      <c r="X126" t="inlineStr">
        <is>
          <t>HW-2 高通量自动化表达与克隆筛选</t>
        </is>
      </c>
      <c r="Y126"/>
      <c r="Z126"/>
    </row>
    <row r="127" ht="25.5" customHeight="1">
      <c r="A127" t="inlineStr">
        <is>
          <t>已合并待删除：灵活8通道移液工作站</t>
        </is>
      </c>
      <c r="B127" t="inlineStr">
        <is>
          <t>HW-2 高通量自动化表达与克隆筛选</t>
        </is>
      </c>
      <c r="C127" t="inlineStr">
        <is>
          <t>灵活8通道移液工作站</t>
        </is>
      </c>
      <c r="D127" t="inlineStr">
        <is>
          <t>通用</t>
        </is>
      </c>
      <c r="E127" t="inlineStr">
        <is>
          <t>已合并待删除</t>
        </is>
      </c>
      <c r="F127" t="inlineStr">
        <is>
          <t>流程</t>
        </is>
      </c>
      <c r="G127"/>
      <c r="H127"/>
      <c r="I127"/>
      <c r="J127"/>
      <c r="K127"/>
      <c r="L127"/>
      <c r="M127" t="inlineStr">
        <is>
          <t>通用厂商仪器；流程PPT出现：灵活8通道移液工作站；用于试剂配置、分装、均一化、涂布、体外表达配置等。</t>
        </is>
      </c>
      <c r="N127"/>
      <c r="O127" t="inlineStr">
        <is>
          <t>HW-2 高通量自动化表达与克隆筛选</t>
        </is>
      </c>
      <c r="P127" t="inlineStr">
        <is>
          <t>流程PPT设备</t>
        </is>
      </c>
      <c r="Q127"/>
      <c r="R127"/>
      <c r="S127"/>
      <c r="T127"/>
      <c r="U127" s="2"/>
      <c r="V127" s="2"/>
      <c r="W127"/>
      <c r="X127" t="inlineStr">
        <is>
          <t>高通量自动化液体处理工作站 / 灵活8通道移液工作站 / 96通道移液工作站</t>
        </is>
      </c>
      <c r="Y127"/>
      <c r="Z127"/>
    </row>
    <row r="128" ht="25.5" customHeight="1">
      <c r="A128" t="inlineStr">
        <is>
          <t>已合并待删除：96通道移液工作站</t>
        </is>
      </c>
      <c r="B128" t="inlineStr">
        <is>
          <t>HW-2 高通量自动化表达与克隆筛选</t>
        </is>
      </c>
      <c r="C128" t="inlineStr">
        <is>
          <t>96通道移液工作站</t>
        </is>
      </c>
      <c r="D128" t="inlineStr">
        <is>
          <t>通用</t>
        </is>
      </c>
      <c r="E128" t="inlineStr">
        <is>
          <t>已合并待删除</t>
        </is>
      </c>
      <c r="F128" t="inlineStr">
        <is>
          <t>流程</t>
        </is>
      </c>
      <c r="G128"/>
      <c r="H128"/>
      <c r="I128"/>
      <c r="J128"/>
      <c r="K128"/>
      <c r="L128"/>
      <c r="M128" t="inlineStr">
        <is>
          <t>通用厂商仪器；流程PPT出现：96通道移液工作站；用于PCR体系配置、纯化、磁珠纯化、Gibson组装体系配置、质粒提取等。</t>
        </is>
      </c>
      <c r="N128"/>
      <c r="O128" t="inlineStr">
        <is>
          <t>HW-2 高通量自动化表达与克隆筛选</t>
        </is>
      </c>
      <c r="P128" t="inlineStr">
        <is>
          <t>流程PPT设备</t>
        </is>
      </c>
      <c r="Q128"/>
      <c r="R128"/>
      <c r="S128"/>
      <c r="T128"/>
      <c r="U128" s="2"/>
      <c r="V128" s="2"/>
      <c r="W128"/>
      <c r="X128" t="inlineStr">
        <is>
          <t>高通量自动化液体处理工作站 / 灵活8通道移液工作站 / 96通道移液工作站</t>
        </is>
      </c>
      <c r="Y128"/>
      <c r="Z128"/>
    </row>
    <row r="129" ht="25.5" customHeight="1">
      <c r="A129" t="inlineStr">
        <is>
          <t>凝胶电泳系统</t>
        </is>
      </c>
      <c r="B129" t="inlineStr">
        <is>
          <t>HW-2 高通量自动化表达与克隆筛选</t>
        </is>
      </c>
      <c r="C129" t="inlineStr">
        <is>
          <t>凝胶电泳系统</t>
        </is>
      </c>
      <c r="D129" t="inlineStr">
        <is>
          <t>通用</t>
        </is>
      </c>
      <c r="E129"/>
      <c r="F129" t="inlineStr">
        <is>
          <t>流程</t>
        </is>
      </c>
      <c r="G129"/>
      <c r="H129"/>
      <c r="I129"/>
      <c r="J129"/>
      <c r="K129"/>
      <c r="L129"/>
      <c r="M129" t="inlineStr">
        <is>
          <t>通用厂商仪器；流程PPT出现：凝胶电泳系统；用于扩增/菌落PCR等电泳验证。</t>
        </is>
      </c>
      <c r="N129"/>
      <c r="O129" t="inlineStr">
        <is>
          <t>HW-2 高通量自动化表达与克隆筛选</t>
        </is>
      </c>
      <c r="P129" t="inlineStr">
        <is>
          <t>流程PPT设备</t>
        </is>
      </c>
      <c r="Q129"/>
      <c r="R129"/>
      <c r="S129"/>
      <c r="T129"/>
      <c r="U129" s="2"/>
      <c r="V129" s="2"/>
      <c r="W129"/>
      <c r="X129" t="inlineStr">
        <is>
          <t>HW-2 高通量自动化表达与克隆筛选</t>
        </is>
      </c>
      <c r="Y129"/>
      <c r="Z129"/>
    </row>
    <row r="130" ht="25.5" customHeight="1">
      <c r="A130" t="inlineStr">
        <is>
          <t>温控设备/温控模块</t>
        </is>
      </c>
      <c r="B130" t="inlineStr">
        <is>
          <t>HW-2 高通量自动化表达与克隆筛选</t>
        </is>
      </c>
      <c r="C130" t="inlineStr">
        <is>
          <t>温控设备/温控模块</t>
        </is>
      </c>
      <c r="D130" t="inlineStr">
        <is>
          <t>通用</t>
        </is>
      </c>
      <c r="E130"/>
      <c r="F130" t="inlineStr">
        <is>
          <t>流程</t>
        </is>
      </c>
      <c r="G130"/>
      <c r="H130"/>
      <c r="I130"/>
      <c r="J130"/>
      <c r="K130"/>
      <c r="L130"/>
      <c r="M130" t="inlineStr">
        <is>
          <t>通用厂商仪器；流程PPT出现：温控*3（4°C+42°C+4°C）；用于转化步骤温控。</t>
        </is>
      </c>
      <c r="N130"/>
      <c r="O130" t="inlineStr">
        <is>
          <t>HW-2 高通量自动化表达与克隆筛选</t>
        </is>
      </c>
      <c r="P130" t="inlineStr">
        <is>
          <t>流程PPT设备</t>
        </is>
      </c>
      <c r="Q130"/>
      <c r="R130"/>
      <c r="S130"/>
      <c r="T130"/>
      <c r="U130" s="2"/>
      <c r="V130" s="2"/>
      <c r="W130"/>
      <c r="X130" t="inlineStr">
        <is>
          <t>HW-2 高通量自动化表达与克隆筛选</t>
        </is>
      </c>
      <c r="Y130"/>
      <c r="Z130"/>
    </row>
    <row r="131" ht="25.5" customHeight="1">
      <c r="A131" t="inlineStr">
        <is>
          <t>已合并待删除：震荡培养箱1</t>
        </is>
      </c>
      <c r="B131" t="inlineStr">
        <is>
          <t>HW-2 高通量自动化表达与克隆筛选</t>
        </is>
      </c>
      <c r="C131" t="inlineStr">
        <is>
          <t>震荡培养箱</t>
        </is>
      </c>
      <c r="D131" t="inlineStr">
        <is>
          <t>通用</t>
        </is>
      </c>
      <c r="E131" t="inlineStr">
        <is>
          <t>已合并待删除</t>
        </is>
      </c>
      <c r="F131" t="inlineStr">
        <is>
          <t>流程</t>
        </is>
      </c>
      <c r="G131"/>
      <c r="H131"/>
      <c r="I131"/>
      <c r="J131"/>
      <c r="K131"/>
      <c r="L131"/>
      <c r="M131" t="inlineStr">
        <is>
          <t>通用厂商仪器；流程PPT出现：震荡培养箱1；37°C 60/75min复苏/培养。</t>
        </is>
      </c>
      <c r="N131"/>
      <c r="O131" t="inlineStr">
        <is>
          <t>HW-2 高通量自动化表达与克隆筛选</t>
        </is>
      </c>
      <c r="P131" t="inlineStr">
        <is>
          <t>流程PPT设备</t>
        </is>
      </c>
      <c r="Q131"/>
      <c r="R131"/>
      <c r="S131"/>
      <c r="T131"/>
      <c r="U131" s="2"/>
      <c r="V131" s="2"/>
      <c r="W131"/>
      <c r="X131" t="inlineStr">
        <is>
          <t>微量振荡培养箱与恒温板 / 震荡培养箱</t>
        </is>
      </c>
      <c r="Y131"/>
      <c r="Z131"/>
    </row>
    <row r="132" ht="25.5" customHeight="1">
      <c r="A132" t="inlineStr">
        <is>
          <t>已合并待删除：震荡培养箱2</t>
        </is>
      </c>
      <c r="B132" t="inlineStr">
        <is>
          <t>HW-2 高通量自动化表达与克隆筛选</t>
        </is>
      </c>
      <c r="C132" t="inlineStr">
        <is>
          <t>震荡培养箱</t>
        </is>
      </c>
      <c r="D132" t="inlineStr">
        <is>
          <t>通用</t>
        </is>
      </c>
      <c r="E132" t="inlineStr">
        <is>
          <t>已合并待删除</t>
        </is>
      </c>
      <c r="F132" t="inlineStr">
        <is>
          <t>流程</t>
        </is>
      </c>
      <c r="G132"/>
      <c r="H132"/>
      <c r="I132"/>
      <c r="J132"/>
      <c r="K132"/>
      <c r="L132"/>
      <c r="M132" t="inlineStr">
        <is>
          <t>通用厂商仪器；流程PPT出现：震荡培养箱2；4°C旋转混匀、清洗、洗脱等蛋白纯化步骤。</t>
        </is>
      </c>
      <c r="N132"/>
      <c r="O132" t="inlineStr">
        <is>
          <t>HW-2 高通量自动化表达与克隆筛选</t>
        </is>
      </c>
      <c r="P132" t="inlineStr">
        <is>
          <t>流程PPT设备</t>
        </is>
      </c>
      <c r="Q132"/>
      <c r="R132"/>
      <c r="S132"/>
      <c r="T132"/>
      <c r="U132" s="2"/>
      <c r="V132" s="2"/>
      <c r="W132"/>
      <c r="X132" t="inlineStr">
        <is>
          <t>微量振荡培养箱与恒温板 / 震荡培养箱</t>
        </is>
      </c>
      <c r="Y132"/>
      <c r="Z132"/>
    </row>
    <row r="133" ht="25.5" customHeight="1">
      <c r="A133" t="inlineStr">
        <is>
          <t>静置培养箱</t>
        </is>
      </c>
      <c r="B133" t="inlineStr">
        <is>
          <t>HW-2 高通量自动化表达与克隆筛选</t>
        </is>
      </c>
      <c r="C133" t="inlineStr">
        <is>
          <t>静置培养箱</t>
        </is>
      </c>
      <c r="D133" t="inlineStr">
        <is>
          <t>通用</t>
        </is>
      </c>
      <c r="E133"/>
      <c r="F133" t="inlineStr">
        <is>
          <t>流程</t>
        </is>
      </c>
      <c r="G133"/>
      <c r="H133"/>
      <c r="I133"/>
      <c r="J133"/>
      <c r="K133"/>
      <c r="L133"/>
      <c r="M133" t="inlineStr">
        <is>
          <t>通用厂商仪器；流程PPT出现：静置培养箱；用于37°C 16h培养。</t>
        </is>
      </c>
      <c r="N133"/>
      <c r="O133" t="inlineStr">
        <is>
          <t>HW-2 高通量自动化表达与克隆筛选</t>
        </is>
      </c>
      <c r="P133" t="inlineStr">
        <is>
          <t>流程PPT设备</t>
        </is>
      </c>
      <c r="Q133"/>
      <c r="R133"/>
      <c r="S133"/>
      <c r="T133"/>
      <c r="U133" s="2"/>
      <c r="V133" s="2"/>
      <c r="W133"/>
      <c r="X133" t="inlineStr">
        <is>
          <t>HW-2 高通量自动化表达与克隆筛选</t>
        </is>
      </c>
      <c r="Y133"/>
      <c r="Z133"/>
    </row>
    <row r="134" ht="25.5" customHeight="1">
      <c r="A134" t="inlineStr">
        <is>
          <t>已合并待删除：挑菌仪</t>
        </is>
      </c>
      <c r="B134" t="inlineStr">
        <is>
          <t>HW-2 高通量自动化表达与克隆筛选</t>
        </is>
      </c>
      <c r="C134" t="inlineStr">
        <is>
          <t>挑菌仪</t>
        </is>
      </c>
      <c r="D134" t="inlineStr">
        <is>
          <t>通用</t>
        </is>
      </c>
      <c r="E134" t="inlineStr">
        <is>
          <t>已合并待删除</t>
        </is>
      </c>
      <c r="F134" t="inlineStr">
        <is>
          <t>流程</t>
        </is>
      </c>
      <c r="G134"/>
      <c r="H134"/>
      <c r="I134"/>
      <c r="J134"/>
      <c r="K134"/>
      <c r="L134"/>
      <c r="M134" t="inlineStr">
        <is>
          <t>通用厂商仪器；流程PPT出现：挑菌仪；用于挑单克隆/挑菌。</t>
        </is>
      </c>
      <c r="N134"/>
      <c r="O134" t="inlineStr">
        <is>
          <t>HW-2 高通量自动化表达与克隆筛选</t>
        </is>
      </c>
      <c r="P134" t="inlineStr">
        <is>
          <t>流程PPT设备</t>
        </is>
      </c>
      <c r="Q134"/>
      <c r="R134"/>
      <c r="S134"/>
      <c r="T134"/>
      <c r="U134" s="2"/>
      <c r="V134" s="2"/>
      <c r="W134"/>
      <c r="X134" t="inlineStr">
        <is>
          <t>全自动菌落挑选与接种系统 / 挑菌仪</t>
        </is>
      </c>
      <c r="Y134"/>
      <c r="Z134"/>
    </row>
    <row r="135" ht="25.5" customHeight="1">
      <c r="A135" t="inlineStr">
        <is>
          <t>已合并待删除：RT离心机</t>
        </is>
      </c>
      <c r="B135" t="inlineStr">
        <is>
          <t>HW-2 高通量自动化表达与克隆筛选</t>
        </is>
      </c>
      <c r="C135" t="inlineStr">
        <is>
          <t>RT离心机</t>
        </is>
      </c>
      <c r="D135" t="inlineStr">
        <is>
          <t>通用</t>
        </is>
      </c>
      <c r="E135" t="inlineStr">
        <is>
          <t>已合并待删除</t>
        </is>
      </c>
      <c r="F135" t="inlineStr">
        <is>
          <t>流程</t>
        </is>
      </c>
      <c r="G135"/>
      <c r="H135"/>
      <c r="I135"/>
      <c r="J135"/>
      <c r="K135"/>
      <c r="L135"/>
      <c r="M135" t="inlineStr">
        <is>
          <t>通用厂商仪器；流程PPT出现：RT离心2；用于常温离心、质粒提取/纯化相关步骤。</t>
        </is>
      </c>
      <c r="N135"/>
      <c r="O135" t="inlineStr">
        <is>
          <t>HW-2 高通量自动化表达与克隆筛选</t>
        </is>
      </c>
      <c r="P135" t="inlineStr">
        <is>
          <t>流程PPT设备</t>
        </is>
      </c>
      <c r="Q135"/>
      <c r="R135"/>
      <c r="S135"/>
      <c r="T135"/>
      <c r="U135" s="2"/>
      <c r="V135" s="2"/>
      <c r="W135"/>
      <c r="X135" t="inlineStr">
        <is>
          <t>多孔板离心机 / RT离心机 / 4°C离心机</t>
        </is>
      </c>
      <c r="Y135"/>
      <c r="Z135"/>
    </row>
    <row r="136" ht="25.5" customHeight="1">
      <c r="A136" t="inlineStr">
        <is>
          <t>已合并待删除：4°C离心机</t>
        </is>
      </c>
      <c r="B136" t="inlineStr">
        <is>
          <t>HW-2 高通量自动化表达与克隆筛选</t>
        </is>
      </c>
      <c r="C136" t="inlineStr">
        <is>
          <t>4°C离心机</t>
        </is>
      </c>
      <c r="D136" t="inlineStr">
        <is>
          <t>通用</t>
        </is>
      </c>
      <c r="E136" t="inlineStr">
        <is>
          <t>已合并待删除</t>
        </is>
      </c>
      <c r="F136" t="inlineStr">
        <is>
          <t>流程</t>
        </is>
      </c>
      <c r="G136"/>
      <c r="H136"/>
      <c r="I136"/>
      <c r="J136"/>
      <c r="K136"/>
      <c r="L136"/>
      <c r="M136" t="inlineStr">
        <is>
          <t>通用厂商仪器；流程PPT出现：4°C离心1；用于蛋白纯化低温离心步骤。</t>
        </is>
      </c>
      <c r="N136"/>
      <c r="O136" t="inlineStr">
        <is>
          <t>HW-2 高通量自动化表达与克隆筛选</t>
        </is>
      </c>
      <c r="P136" t="inlineStr">
        <is>
          <t>流程PPT设备</t>
        </is>
      </c>
      <c r="Q136"/>
      <c r="R136"/>
      <c r="S136"/>
      <c r="T136"/>
      <c r="U136" s="2"/>
      <c r="V136" s="2"/>
      <c r="W136"/>
      <c r="X136" t="inlineStr">
        <is>
          <t>多孔板离心机 / RT离心机 / 4°C离心机</t>
        </is>
      </c>
      <c r="Y136"/>
      <c r="Z136"/>
    </row>
    <row r="137" ht="25.5" customHeight="1">
      <c r="A137" t="inlineStr">
        <is>
          <t>动态光散射仪（DLS）</t>
        </is>
      </c>
      <c r="B137" t="inlineStr">
        <is>
          <t>HW-4 发酵过程在线监测与蛋白稳定性表征</t>
        </is>
      </c>
      <c r="C137" t="inlineStr">
        <is>
          <t>动态光散射仪（DLS）</t>
        </is>
      </c>
      <c r="D137" t="inlineStr">
        <is>
          <t>通用</t>
        </is>
      </c>
      <c r="E137"/>
      <c r="F137" t="inlineStr">
        <is>
          <t>流程</t>
        </is>
      </c>
      <c r="G137"/>
      <c r="H137"/>
      <c r="I137"/>
      <c r="J137"/>
      <c r="K137"/>
      <c r="L137"/>
      <c r="M137" t="inlineStr">
        <is>
          <t>通用厂商仪器；流程PPT出现：动态光散射仪（DLS）；用于蛋白纯化后检测。</t>
        </is>
      </c>
      <c r="N137"/>
      <c r="O137" t="inlineStr">
        <is>
          <t>HW-4 发酵过程在线监测与蛋白稳定性表征</t>
        </is>
      </c>
      <c r="P137" t="inlineStr">
        <is>
          <t>流程PPT设备</t>
        </is>
      </c>
      <c r="Q137"/>
      <c r="R137"/>
      <c r="S137"/>
      <c r="T137"/>
      <c r="U137" s="2"/>
      <c r="V137" s="2"/>
      <c r="W137"/>
      <c r="X137" t="inlineStr">
        <is>
          <t>HW-4 发酵过程在线监测与蛋白稳定性表征</t>
        </is>
      </c>
      <c r="Y137"/>
      <c r="Z137"/>
    </row>
    <row r="138" ht="25.5" customHeight="1">
      <c r="A138" t="inlineStr">
        <is>
          <t>已合并待删除：酶标仪</t>
        </is>
      </c>
      <c r="B138" t="inlineStr">
        <is>
          <t>HW-4 发酵过程在线监测与蛋白稳定性表征</t>
        </is>
      </c>
      <c r="C138" t="inlineStr">
        <is>
          <t>酶标仪</t>
        </is>
      </c>
      <c r="D138" t="inlineStr">
        <is>
          <t>通用</t>
        </is>
      </c>
      <c r="E138" t="inlineStr">
        <is>
          <t>已合并待删除</t>
        </is>
      </c>
      <c r="F138" t="inlineStr">
        <is>
          <t>流程</t>
        </is>
      </c>
      <c r="G138"/>
      <c r="H138"/>
      <c r="I138"/>
      <c r="J138"/>
      <c r="K138"/>
      <c r="L138"/>
      <c r="M138" t="inlineStr">
        <is>
          <t>通用厂商仪器；流程PPT出现：酶标仪；用于核酸质控OD260/280检测、OD值测试等。</t>
        </is>
      </c>
      <c r="N138"/>
      <c r="O138" t="inlineStr">
        <is>
          <t>HW-4 发酵过程在线监测与蛋白稳定性表征</t>
        </is>
      </c>
      <c r="P138" t="inlineStr">
        <is>
          <t>流程PPT设备</t>
        </is>
      </c>
      <c r="Q138"/>
      <c r="R138"/>
      <c r="S138"/>
      <c r="T138"/>
      <c r="U138" s="2"/>
      <c r="V138" s="2"/>
      <c r="W138"/>
      <c r="X138" t="inlineStr">
        <is>
          <t>多功能微孔板读板仪 / 酶标仪</t>
        </is>
      </c>
      <c r="Y138"/>
      <c r="Z138"/>
    </row>
    <row r="139" ht="25.5" customHeight="1">
      <c r="A139" t="inlineStr">
        <is>
          <t>Allsheng FlexA-200</t>
        </is>
      </c>
      <c r="B139" t="inlineStr">
        <is>
          <t>HW-4 发酵过程在线监测与蛋白稳定性表征</t>
        </is>
      </c>
      <c r="C139" t="inlineStr">
        <is>
          <t>酶标仪</t>
        </is>
      </c>
      <c r="D139" t="inlineStr">
        <is>
          <t>Allsheng FlexA-200</t>
        </is>
      </c>
      <c r="E139" t="inlineStr">
        <is>
          <t>存在近似asset</t>
        </is>
      </c>
      <c r="F139" t="inlineStr">
        <is>
          <t>流程</t>
        </is>
      </c>
      <c r="G139"/>
      <c r="H139"/>
      <c r="I139"/>
      <c r="J139"/>
      <c r="K139"/>
      <c r="L139"/>
      <c r="M139" t="inlineStr">
        <is>
          <t>流程PPT出现：酶标仪 flex a200；用于核酸质控OD260/280检测。</t>
        </is>
      </c>
      <c r="N139"/>
      <c r="O139" t="inlineStr">
        <is>
          <t>HW-4 发酵过程在线监测与蛋白稳定性表征</t>
        </is>
      </c>
      <c r="P139" t="inlineStr">
        <is>
          <t>流程PPT具体型号</t>
        </is>
      </c>
      <c r="Q139"/>
      <c r="R139"/>
      <c r="S139"/>
      <c r="T139" t="inlineStr">
        <is>
          <t>型号核验：Allsheng/奥盛 FlexA-200 系列酶标仪；asset 检索未发现精确型号。；真实厂商与型号：Allsheng FlexA-200。</t>
        </is>
      </c>
      <c r="U139" s="2"/>
      <c r="V139" s="2" t="str">
        <f>=HYPERLINK("https://www.allsheng.com.cn/Product/Info/96", "https://www.allsheng.com.cn/Product/Info/96")</f>
        <v>https://www.allsheng.com.cn/Product/Info/96</v>
      </c>
      <c r="W139" t="inlineStr">
        <is>
          <t>检索表内 asset：未发现 Allsheng 精确型号可合并；存在同类酶标仪 asset（BMG CLARIOstar Plus、Agilent BioTek Cytation、Molecular Devices SpectraMax、Tecan Infinite 等），不做精确合并。；真实厂商与型号：Allsheng FlexA-200。由于“厂商与型号”单选字段未接受新增选项，暂以文本证据标注。</t>
        </is>
      </c>
      <c r="X139" t="inlineStr">
        <is>
          <t>多功能微孔板读板仪 / 酶标仪</t>
        </is>
      </c>
      <c r="Y139"/>
      <c r="Z139"/>
    </row>
    <row r="140" ht="25.5" customHeight="1">
      <c r="A140" t="inlineStr">
        <is>
          <t>Allsheng Feyond-A300</t>
        </is>
      </c>
      <c r="B140" t="inlineStr">
        <is>
          <t>HW-4 发酵过程在线监测与蛋白稳定性表征</t>
        </is>
      </c>
      <c r="C140" t="inlineStr">
        <is>
          <t>酶标仪</t>
        </is>
      </c>
      <c r="D140" t="inlineStr">
        <is>
          <t>Allsheng Feyond-A300</t>
        </is>
      </c>
      <c r="E140" t="inlineStr">
        <is>
          <t>存在近似asset</t>
        </is>
      </c>
      <c r="F140" t="inlineStr">
        <is>
          <t>流程</t>
        </is>
      </c>
      <c r="G140"/>
      <c r="H140"/>
      <c r="I140"/>
      <c r="J140"/>
      <c r="K140"/>
      <c r="L140"/>
      <c r="M140" t="inlineStr">
        <is>
          <t>流程PPT出现：酶标仪 Feyond-A300；用于OD值测试。</t>
        </is>
      </c>
      <c r="N140"/>
      <c r="O140" t="inlineStr">
        <is>
          <t>HW-4 发酵过程在线监测与蛋白稳定性表征</t>
        </is>
      </c>
      <c r="P140" t="inlineStr">
        <is>
          <t>流程PPT具体型号</t>
        </is>
      </c>
      <c r="Q140"/>
      <c r="R140"/>
      <c r="S140"/>
      <c r="T140" t="inlineStr">
        <is>
          <t>型号核验：Allsheng/奥盛 Feyond-A300 全波长酶标仪；asset 检索未发现精确型号。；真实厂商与型号：Allsheng Feyond-A300。</t>
        </is>
      </c>
      <c r="U140" s="2"/>
      <c r="V140" s="2" t="str">
        <f>=HYPERLINK("https://www.allsheng.com.cn/Product/Info/79", "https://www.allsheng.com.cn/Product/Info/79")</f>
        <v>https://www.allsheng.com.cn/Product/Info/79</v>
      </c>
      <c r="W140" t="inlineStr">
        <is>
          <t>检索表内 asset：未发现 Allsheng 精确型号可合并；存在同类酶标仪 asset（BMG CLARIOstar Plus、Agilent BioTek Cytation、Molecular Devices SpectraMax、Tecan Infinite 等），不做精确合并。；真实厂商与型号：Allsheng Feyond-A300。由于“厂商与型号”单选字段未接受新增选项，暂以文本证据标注。</t>
        </is>
      </c>
      <c r="X140" t="inlineStr">
        <is>
          <t>多功能微孔板读板仪 / 酶标仪</t>
        </is>
      </c>
      <c r="Y140"/>
      <c r="Z140"/>
    </row>
    <row r="141" ht="25.5" customHeight="1">
      <c r="A141" t="inlineStr">
        <is>
          <t>HW-1 其他仪器</t>
        </is>
      </c>
      <c r="B141" t="inlineStr">
        <is>
          <t>HW-1 数据中台与智能算力底座</t>
        </is>
      </c>
      <c r="C141" t="inlineStr">
        <is>
          <t>其他仪器</t>
        </is>
      </c>
      <c r="D141" t="inlineStr">
        <is>
          <t>通用</t>
        </is>
      </c>
      <c r="E141"/>
      <c r="F141" t="inlineStr">
        <is>
          <t>人工</t>
        </is>
      </c>
      <c r="G141"/>
      <c r="H141"/>
      <c r="I141"/>
      <c r="J141"/>
      <c r="K141"/>
      <c r="L141"/>
      <c r="M141"/>
      <c r="N141"/>
      <c r="O141"/>
      <c r="P141"/>
      <c r="Q141"/>
      <c r="R141"/>
      <c r="S141"/>
      <c r="T141"/>
      <c r="U141" s="2"/>
      <c r="V141" s="2"/>
      <c r="W141"/>
      <c r="X141" t="inlineStr">
        <is>
          <t>HW-1 数据中台与智能算力底座</t>
        </is>
      </c>
      <c r="Y141"/>
      <c r="Z141"/>
    </row>
    <row r="142" ht="25.5" customHeight="1">
      <c r="A142" t="inlineStr">
        <is>
          <t>HW-2 其他仪器</t>
        </is>
      </c>
      <c r="B142" t="inlineStr">
        <is>
          <t>HW-2 高通量自动化表达与克隆筛选</t>
        </is>
      </c>
      <c r="C142" t="inlineStr">
        <is>
          <t>其他仪器</t>
        </is>
      </c>
      <c r="D142" t="inlineStr">
        <is>
          <t>通用</t>
        </is>
      </c>
      <c r="E142"/>
      <c r="F142" t="inlineStr">
        <is>
          <t>人工</t>
        </is>
      </c>
      <c r="G142"/>
      <c r="H142"/>
      <c r="I142"/>
      <c r="J142"/>
      <c r="K142"/>
      <c r="L142"/>
      <c r="M142"/>
      <c r="N142"/>
      <c r="O142"/>
      <c r="P142"/>
      <c r="Q142"/>
      <c r="R142"/>
      <c r="S142"/>
      <c r="T142"/>
      <c r="U142" s="2"/>
      <c r="V142" s="2"/>
      <c r="W142"/>
      <c r="X142" t="inlineStr">
        <is>
          <t>HW-2 高通量自动化表达与克隆筛选</t>
        </is>
      </c>
      <c r="Y142"/>
      <c r="Z142"/>
    </row>
    <row r="143" ht="25.5" customHeight="1">
      <c r="A143" t="inlineStr">
        <is>
          <t>HW-3 其他仪器</t>
        </is>
      </c>
      <c r="B143" t="inlineStr">
        <is>
          <t>HW-3 微型平行发酵与生物过程培养</t>
        </is>
      </c>
      <c r="C143" t="inlineStr">
        <is>
          <t>其他仪器</t>
        </is>
      </c>
      <c r="D143" t="inlineStr">
        <is>
          <t>通用</t>
        </is>
      </c>
      <c r="E143"/>
      <c r="F143" t="inlineStr">
        <is>
          <t>人工</t>
        </is>
      </c>
      <c r="G143"/>
      <c r="H143"/>
      <c r="I143"/>
      <c r="J143"/>
      <c r="K143"/>
      <c r="L143"/>
      <c r="M143"/>
      <c r="N143"/>
      <c r="O143"/>
      <c r="P143"/>
      <c r="Q143"/>
      <c r="R143"/>
      <c r="S143"/>
      <c r="T143"/>
      <c r="U143" s="2"/>
      <c r="V143" s="2"/>
      <c r="W143"/>
      <c r="X143" t="inlineStr">
        <is>
          <t>HW-3 微型平行发酵与生物过程培养</t>
        </is>
      </c>
      <c r="Y143"/>
      <c r="Z143"/>
    </row>
    <row r="144" ht="25.5" customHeight="1">
      <c r="A144" t="inlineStr">
        <is>
          <t>HW-4 其他仪器</t>
        </is>
      </c>
      <c r="B144" t="inlineStr">
        <is>
          <t>HW-4 发酵过程在线监测与蛋白稳定性表征</t>
        </is>
      </c>
      <c r="C144" t="inlineStr">
        <is>
          <t>其他仪器</t>
        </is>
      </c>
      <c r="D144" t="inlineStr">
        <is>
          <t>通用</t>
        </is>
      </c>
      <c r="E144"/>
      <c r="F144" t="inlineStr">
        <is>
          <t>人工</t>
        </is>
      </c>
      <c r="G144"/>
      <c r="H144"/>
      <c r="I144"/>
      <c r="J144"/>
      <c r="K144"/>
      <c r="L144"/>
      <c r="M144"/>
      <c r="N144"/>
      <c r="O144"/>
      <c r="P144"/>
      <c r="Q144"/>
      <c r="R144"/>
      <c r="S144"/>
      <c r="T144"/>
      <c r="U144" s="2"/>
      <c r="V144" s="2"/>
      <c r="W144"/>
      <c r="X144" t="inlineStr">
        <is>
          <t>HW-4 发酵过程在线监测与蛋白稳定性表征</t>
        </is>
      </c>
      <c r="Y144"/>
      <c r="Z144"/>
    </row>
    <row r="145" ht="25.5" customHeight="1">
      <c r="A145" t="inlineStr">
        <is>
          <t>HW-5 其他仪器</t>
        </is>
      </c>
      <c r="B145" t="inlineStr">
        <is>
          <t>HW-5 高灵敏液质联用定量分析</t>
        </is>
      </c>
      <c r="C145" t="inlineStr">
        <is>
          <t>其他仪器</t>
        </is>
      </c>
      <c r="D145" t="inlineStr">
        <is>
          <t>通用</t>
        </is>
      </c>
      <c r="E145"/>
      <c r="F145" t="inlineStr">
        <is>
          <t>人工</t>
        </is>
      </c>
      <c r="G145"/>
      <c r="H145"/>
      <c r="I145"/>
      <c r="J145"/>
      <c r="K145"/>
      <c r="L145"/>
      <c r="M145"/>
      <c r="N145"/>
      <c r="O145"/>
      <c r="P145"/>
      <c r="Q145"/>
      <c r="R145"/>
      <c r="S145"/>
      <c r="T145"/>
      <c r="U145" s="2"/>
      <c r="V145" s="2"/>
      <c r="W145"/>
      <c r="X145" t="inlineStr">
        <is>
          <t>HW-5 高灵敏液质联用定量分析</t>
        </is>
      </c>
      <c r="Y145"/>
      <c r="Z145"/>
    </row>
    <row r="146" ht="25.5" customHeight="1">
      <c r="A146" t="inlineStr">
        <is>
          <t>HW-6 其他仪器</t>
        </is>
      </c>
      <c r="B146" t="inlineStr">
        <is>
          <t>HW-6 蛋白色谱纯化与配套备件保障</t>
        </is>
      </c>
      <c r="C146" t="inlineStr">
        <is>
          <t>其他仪器</t>
        </is>
      </c>
      <c r="D146" t="inlineStr">
        <is>
          <t>通用</t>
        </is>
      </c>
      <c r="E146"/>
      <c r="F146" t="inlineStr">
        <is>
          <t>人工</t>
        </is>
      </c>
      <c r="G146"/>
      <c r="H146"/>
      <c r="I146"/>
      <c r="J146"/>
      <c r="K146"/>
      <c r="L146"/>
      <c r="M146"/>
      <c r="N146"/>
      <c r="O146"/>
      <c r="P146"/>
      <c r="Q146"/>
      <c r="R146"/>
      <c r="S146"/>
      <c r="T146"/>
      <c r="U146" s="2"/>
      <c r="V146" s="2"/>
      <c r="W146"/>
      <c r="X146" t="inlineStr">
        <is>
          <t>HW-6 蛋白色谱纯化与配套备件保障</t>
        </is>
      </c>
      <c r="Y146"/>
      <c r="Z146"/>
    </row>
    <row r="147" ht="25.5" customHeight="1">
      <c r="A147" t="inlineStr">
        <is>
          <t>机械臂/协作机器人（自动化集成）</t>
        </is>
      </c>
      <c r="B147" t="inlineStr">
        <is>
          <t>HW-2 高通量自动化表达与克隆筛选</t>
        </is>
      </c>
      <c r="C147" t="inlineStr">
        <is>
          <t>机械臂/协作机器人（自动化集成）</t>
        </is>
      </c>
      <c r="D147" t="inlineStr">
        <is>
          <t>通用</t>
        </is>
      </c>
      <c r="E147"/>
      <c r="F147" t="inlineStr">
        <is>
          <t>人工</t>
        </is>
      </c>
      <c r="G147"/>
      <c r="H147"/>
      <c r="I147"/>
      <c r="J147"/>
      <c r="K147"/>
      <c r="L147"/>
      <c r="M147"/>
      <c r="N147"/>
      <c r="O147"/>
      <c r="P147"/>
      <c r="Q147"/>
      <c r="R147"/>
      <c r="S147"/>
      <c r="T147"/>
      <c r="U147" s="2"/>
      <c r="V147" s="2"/>
      <c r="W147"/>
      <c r="X147" t="inlineStr">
        <is>
          <t>HW-2 高通量自动化表达与克隆筛选</t>
        </is>
      </c>
      <c r="Y147"/>
      <c r="Z147"/>
    </row>
    <row r="148" ht="25.5" customHeight="1">
      <c r="A148" t="inlineStr">
        <is>
          <t>堆栈</t>
        </is>
      </c>
      <c r="B148" t="inlineStr">
        <is>
          <t>HW-2 高通量自动化表达与克隆筛选</t>
        </is>
      </c>
      <c r="C148" t="inlineStr">
        <is>
          <t>堆栈</t>
        </is>
      </c>
      <c r="D148" t="inlineStr">
        <is>
          <t>通用</t>
        </is>
      </c>
      <c r="E148"/>
      <c r="F148" t="inlineStr">
        <is>
          <t>人工</t>
        </is>
      </c>
      <c r="G148"/>
      <c r="H148"/>
      <c r="I148"/>
      <c r="J148"/>
      <c r="K148"/>
      <c r="L148"/>
      <c r="M148"/>
      <c r="N148"/>
      <c r="O148"/>
      <c r="P148"/>
      <c r="Q148"/>
      <c r="R148"/>
      <c r="S148"/>
      <c r="T148"/>
      <c r="U148" s="2"/>
      <c r="V148" s="2"/>
      <c r="W148"/>
      <c r="X148" t="inlineStr">
        <is>
          <t>HW-2 高通量自动化表达与克隆筛选</t>
        </is>
      </c>
      <c r="Y148"/>
      <c r="Z148"/>
    </row>
    <row r="149" ht="25.5" customHeight="1">
      <c r="A149" t="inlineStr">
        <is>
          <t>Malvern Panalytical Zetasizer Ultra</t>
        </is>
      </c>
      <c r="B149" t="inlineStr">
        <is>
          <t>HW-4 发酵过程在线监测与蛋白稳定性表征</t>
        </is>
      </c>
      <c r="C149" t="inlineStr">
        <is>
          <t>动态光散射仪（DLS）</t>
        </is>
      </c>
      <c r="D149" t="inlineStr">
        <is>
          <t>Malvern Panalytical Zetasizer Ultra</t>
        </is>
      </c>
      <c r="E149"/>
      <c r="F149" t="inlineStr">
        <is>
          <t>AI</t>
        </is>
      </c>
      <c r="G149" t="inlineStr">
        <is>
          <t>未发现STL/Xacro/CAD/STEP</t>
        </is>
      </c>
      <c r="H149" t="inlineStr">
        <is>
          <t>进口</t>
        </is>
      </c>
      <c r="I149" t="inlineStr">
        <is>
          <t>候选</t>
        </is>
      </c>
      <c r="J149" t="inlineStr">
        <is>
          <t>待询价</t>
        </is>
      </c>
      <c r="K149" t="inlineStr">
        <is>
          <t>待询价</t>
        </is>
      </c>
      <c r="L149" t="inlineStr">
        <is>
          <t>待确认</t>
        </is>
      </c>
      <c r="M149" t="inlineStr">
        <is>
          <t>旗舰DLS/zeta候选。MADLS；粒径约0.3 nm–10 µm；zeta约3.8 nm–100 µm；最小样品量约3 µL；颗粒浓度约1e8–1e12 particles/mL。适合高端蛋白/纳米颗粒粒径与zeta表征。</t>
        </is>
      </c>
      <c r="N149" t="inlineStr">
        <is>
          <t>标准候选</t>
        </is>
      </c>
      <c r="O149" t="inlineStr">
        <is>
          <t>HW-4 发酵过程在线监测与蛋白稳定性表征</t>
        </is>
      </c>
      <c r="P149" t="inlineStr">
        <is>
          <t>在线调研补充</t>
        </is>
      </c>
      <c r="Q149" t="inlineStr">
        <is>
          <t>online-20260710</t>
        </is>
      </c>
      <c r="R149" t="inlineStr">
        <is>
          <t>标准/进口</t>
        </is>
      </c>
      <c r="S149" t="inlineStr">
        <is>
          <t>低</t>
        </is>
      </c>
      <c r="T149" t="inlineStr">
        <is>
          <t>公开检索未发现该精确型号的公开STL/STEP/CAD/URDF/Xacro模型；仅找到官方产品页/规格资料。</t>
        </is>
      </c>
      <c r="U149" s="2"/>
      <c r="V149" s="2" t="str">
        <f>=HYPERLINK("https://www.malvernpanalytical.com/en/products/product-range/zetasizer-range/zetasizer-advance-range/zetasizer-ultra
https://www.malvernpanalytical.com.cn/assets/mrk2351-01_zetasizer_brochure_lra4_tcm54-56369.pdf", "https://www.malvernpanalytical.com/en/products/product-range/zetasizer-range/zetasizer-advance-range/zetasizer-ultra,https://www.malvernpanalytical.com.cn/assets/mrk2351-01_zetasizer_brochure_lra4_tcm54-56369.pdf")</f>
        <v>https://www.malvernpanalytical.com/en/products/product-range/zetasizer-range/zetasizer-advance-range/zetasizer-ultra,https://www.malvernpanalytical.com.cn/assets/mrk2351-01_zetasizer_brochure_lra4_tcm54-56369.pdf</v>
      </c>
      <c r="W149" t="inlineStr">
        <is>
          <t>未找到公开exact几何资产；如需仿真建议向厂家索取STEP/外形CAD，或先建立台式DLS占位模型。</t>
        </is>
      </c>
      <c r="X149" t="inlineStr">
        <is>
          <t>动态光散射仪（DLS）</t>
        </is>
      </c>
      <c r="Y149"/>
      <c r="Z149"/>
    </row>
    <row r="150" ht="25.5" customHeight="1">
      <c r="A150" t="inlineStr">
        <is>
          <t>Waters/Wyatt DynaPro Plate Reader 4</t>
        </is>
      </c>
      <c r="B150" t="inlineStr">
        <is>
          <t>HW-4 发酵过程在线监测与蛋白稳定性表征</t>
        </is>
      </c>
      <c r="C150" t="inlineStr">
        <is>
          <t>动态光散射仪（DLS）</t>
        </is>
      </c>
      <c r="D150" t="inlineStr">
        <is>
          <t>Waters/Wyatt DynaPro Plate Reader 4</t>
        </is>
      </c>
      <c r="E150" t="inlineStr">
        <is>
          <t>准备中</t>
        </is>
      </c>
      <c r="F150" t="inlineStr">
        <is>
          <t>AI</t>
        </is>
      </c>
      <c r="G150" t="inlineStr">
        <is>
          <t>未发现STL/Xacro/CAD/STEP</t>
        </is>
      </c>
      <c r="H150" t="inlineStr">
        <is>
          <t>进口</t>
        </is>
      </c>
      <c r="I150" t="inlineStr">
        <is>
          <t>候选</t>
        </is>
      </c>
      <c r="J150" t="inlineStr">
        <is>
          <t>待询价</t>
        </is>
      </c>
      <c r="K150" t="inlineStr">
        <is>
          <t>待询价</t>
        </is>
      </c>
      <c r="L150" t="inlineStr">
        <is>
          <t>待确认</t>
        </is>
      </c>
      <c r="M150" t="inlineStr">
        <is>
          <t>高通量DLS/SLS候选。支持96/384/1536孔板；Rh约0.5–1000 nm；lysozyme灵敏度约0.125 mg/mL；最小体积约4 µL；支持机器人/API集成，适合筛选型DLS。</t>
        </is>
      </c>
      <c r="N150" t="inlineStr">
        <is>
          <t>标准候选</t>
        </is>
      </c>
      <c r="O150" t="inlineStr">
        <is>
          <t>HW-4 发酵过程在线监测与蛋白稳定性表征</t>
        </is>
      </c>
      <c r="P150" t="inlineStr">
        <is>
          <t>在线调研补充</t>
        </is>
      </c>
      <c r="Q150" t="inlineStr">
        <is>
          <t>online-20260710</t>
        </is>
      </c>
      <c r="R150" t="inlineStr">
        <is>
          <t>标准/进口</t>
        </is>
      </c>
      <c r="S150" t="inlineStr">
        <is>
          <t>低</t>
        </is>
      </c>
      <c r="T150" t="inlineStr">
        <is>
          <t>公开检索未发现该精确型号的公开STL/STEP/CAD/URDF/Xacro模型；仅找到官方产品页/规格资料。</t>
        </is>
      </c>
      <c r="U150" s="2"/>
      <c r="V150" s="2" t="str">
        <f>=HYPERLINK("https://www.wyatt.com/products/instruments/dynapro-dynamic-light-scattering-plate-reader.html
https://www.wyatt.com/contact/global-offices.html", "https://www.wyatt.com/products/instruments/dynapro-dynamic-light-scattering-plate-reader.html,https://www.wyatt.com/contact/global-offices.html")</f>
        <v>https://www.wyatt.com/products/instruments/dynapro-dynamic-light-scattering-plate-reader.html,https://www.wyatt.com/contact/global-offices.html</v>
      </c>
      <c r="W150" t="inlineStr">
        <is>
          <t>未找到公开exact几何资产；因形态接近板式读板仪，可先用微孔板读板仪/台式分析仪近似占位，后续索取厂家CAD。</t>
        </is>
      </c>
      <c r="X150" t="inlineStr">
        <is>
          <t>动态光散射仪（DLS）</t>
        </is>
      </c>
      <c r="Y150"/>
      <c r="Z150"/>
    </row>
    <row r="151" ht="25.5" customHeight="1">
      <c r="A151" t="inlineStr">
        <is>
          <t>Anton Paar Litesizer DLS 501</t>
        </is>
      </c>
      <c r="B151" t="inlineStr">
        <is>
          <t>HW-4 发酵过程在线监测与蛋白稳定性表征</t>
        </is>
      </c>
      <c r="C151" t="inlineStr">
        <is>
          <t>动态光散射仪（DLS）</t>
        </is>
      </c>
      <c r="D151" t="inlineStr">
        <is>
          <t>Anton Paar Litesizer DLS 501</t>
        </is>
      </c>
      <c r="E151"/>
      <c r="F151" t="inlineStr">
        <is>
          <t>AI</t>
        </is>
      </c>
      <c r="G151" t="inlineStr">
        <is>
          <t>未发现STL/Xacro/CAD/STEP</t>
        </is>
      </c>
      <c r="H151" t="inlineStr">
        <is>
          <t>进口</t>
        </is>
      </c>
      <c r="I151" t="inlineStr">
        <is>
          <t>候选</t>
        </is>
      </c>
      <c r="J151" t="inlineStr">
        <is>
          <t>待询价</t>
        </is>
      </c>
      <c r="K151" t="inlineStr">
        <is>
          <t>待询价</t>
        </is>
      </c>
      <c r="L151" t="inlineStr">
        <is>
          <t>待确认</t>
        </is>
      </c>
      <c r="M151" t="inlineStr">
        <is>
          <t>多角度DLS/zeta候选。粒径约0.3 nm–15 µm；15°/90°/175°检测角；cmPALS zeta，zeta粒径约1.3 nm–100 µm；lysozyme灵敏度约0.1 mg/mL。</t>
        </is>
      </c>
      <c r="N151" t="inlineStr">
        <is>
          <t>标准候选</t>
        </is>
      </c>
      <c r="O151" t="inlineStr">
        <is>
          <t>HW-4 发酵过程在线监测与蛋白稳定性表征</t>
        </is>
      </c>
      <c r="P151" t="inlineStr">
        <is>
          <t>在线调研补充</t>
        </is>
      </c>
      <c r="Q151" t="inlineStr">
        <is>
          <t>online-20260710</t>
        </is>
      </c>
      <c r="R151" t="inlineStr">
        <is>
          <t>标准/进口</t>
        </is>
      </c>
      <c r="S151" t="inlineStr">
        <is>
          <t>低</t>
        </is>
      </c>
      <c r="T151" t="inlineStr">
        <is>
          <t>公开检索未发现该精确型号的公开STL/STEP/CAD/URDF/Xacro模型；仅找到官方产品页/规格资料。</t>
        </is>
      </c>
      <c r="U151" s="2"/>
      <c r="V151" s="2" t="str">
        <f>=HYPERLINK("https://www.anton-paar.com/corp-en/products/details/litesizer/
https://www.anton-paar.com/at-de/ueber-uns/anton-paar-unternehmensgruppe/anton-paar-gmbh/", "https://www.anton-paar.com/corp-en/products/details/litesizer/,https://www.anton-paar.com/at-de/ueber-uns/anton-paar-unternehmensgruppe/anton-paar-gmbh/")</f>
        <v>https://www.anton-paar.com/corp-en/products/details/litesizer/,https://www.anton-paar.com/at-de/ueber-uns/anton-paar-unternehmensgruppe/anton-paar-gmbh/</v>
      </c>
      <c r="W151" t="inlineStr">
        <is>
          <t>未找到公开exact几何资产；如需仿真建议索取厂家STEP/外形CAD，或先建立台式DLS近似占位模型。</t>
        </is>
      </c>
      <c r="X151" t="inlineStr">
        <is>
          <t>动态光散射仪（DLS）</t>
        </is>
      </c>
      <c r="Y151"/>
      <c r="Z151"/>
    </row>
    <row r="152" ht="25.5" customHeight="1">
      <c r="A152" t="inlineStr">
        <is>
          <t>Bettersize BeNano 180 Zeta Pro</t>
        </is>
      </c>
      <c r="B152" t="inlineStr">
        <is>
          <t>HW-4 发酵过程在线监测与蛋白稳定性表征</t>
        </is>
      </c>
      <c r="C152" t="inlineStr">
        <is>
          <t>动态光散射仪（DLS）</t>
        </is>
      </c>
      <c r="D152" t="inlineStr">
        <is>
          <t>Bettersize BeNano 180 Zeta Pro</t>
        </is>
      </c>
      <c r="E152"/>
      <c r="F152" t="inlineStr">
        <is>
          <t>AI</t>
        </is>
      </c>
      <c r="G152" t="inlineStr">
        <is>
          <t>未发现STL/Xacro/CAD/STEP</t>
        </is>
      </c>
      <c r="H152" t="inlineStr">
        <is>
          <t>国产</t>
        </is>
      </c>
      <c r="I152" t="inlineStr">
        <is>
          <t>候选</t>
        </is>
      </c>
      <c r="J152" t="inlineStr">
        <is>
          <t>待询价</t>
        </is>
      </c>
      <c r="K152" t="inlineStr">
        <is>
          <t>待询价</t>
        </is>
      </c>
      <c r="L152" t="inlineStr">
        <is>
          <t>待确认</t>
        </is>
      </c>
      <c r="M152" t="inlineStr">
        <is>
          <t>国产DLS/ELS/SLS候选。粒径约0.3 nm–15 µm；样品量约3 µL–1 mL；173°+90°+12°多角度；PALS zeta；电导率0–260 mS/cm；温控约-15–110°C。</t>
        </is>
      </c>
      <c r="N152" t="inlineStr">
        <is>
          <t>国产候选</t>
        </is>
      </c>
      <c r="O152" t="inlineStr">
        <is>
          <t>HW-4 发酵过程在线监测与蛋白稳定性表征</t>
        </is>
      </c>
      <c r="P152" t="inlineStr">
        <is>
          <t>在线调研补充</t>
        </is>
      </c>
      <c r="Q152" t="inlineStr">
        <is>
          <t>online-20260710</t>
        </is>
      </c>
      <c r="R152" t="inlineStr">
        <is>
          <t>国产</t>
        </is>
      </c>
      <c r="S152" t="inlineStr">
        <is>
          <t>低</t>
        </is>
      </c>
      <c r="T152" t="inlineStr">
        <is>
          <t>公开检索未发现该精确型号的公开STL/STEP/CAD/URDF/Xacro模型；仅找到官方产品页/规格资料。</t>
        </is>
      </c>
      <c r="U152" s="2"/>
      <c r="V152" s="2" t="str">
        <f>=HYPERLINK("https://www.bettersizeinstruments.com/products/benano-series/
https://www.bettersizeinstruments.com/about-us/
https://www.bettersizer.cn/p/67.html", "https://www.bettersizeinstruments.com/products/benano-series/,https://www.bettersizeinstruments.com/about-us/,https://www.bettersizer.cn/p/67.html")</f>
        <v>https://www.bettersizeinstruments.com/products/benano-series/,https://www.bettersizeinstruments.com/about-us/,https://www.bettersizer.cn/p/67.html</v>
      </c>
      <c r="W152" t="inlineStr">
        <is>
          <t>未找到公开exact几何资产；国产台式DLS候选，建议索取厂家外形CAD/STEP，短期可建立国产台式DLS占位模型。</t>
        </is>
      </c>
      <c r="X152" t="inlineStr">
        <is>
          <t>动态光散射仪（DLS）</t>
        </is>
      </c>
      <c r="Y152"/>
      <c r="Z152"/>
    </row>
  </sheetData>
  <dataValidations count="6">
    <dataValidation allowBlank="false" sqref="B2:B151" type="list">
      <formula1>"HW-1 数据中台与智能算力底座,HW-2 高通量自动化表达与克隆筛选,HW-3 微型平行发酵与生物过程培养,HW-4 发酵过程在线监测与蛋白稳定性表征,HW-5 高灵敏液质联用定量分析,HW-6 蛋白色谱纯化与配套备件保障,全部硬件工站"</formula1>
    </dataValidation>
    <dataValidation allowBlank="false" sqref="E2:E151" type="list">
      <formula1>"准备中,真实stl,图片生成stl,不带可动关节urdf,带关节urdf,仿真驱动就绪,已合并asset,已合并待删除,已合并近似asset,存在近似asset"</formula1>
    </dataValidation>
    <dataValidation allowBlank="false" sqref="L2:L151" type="list">
      <formula1>"5~9（估算·待实测核定）,10~12（估算·待实测核定）,5~8（估算·待实测核定）,1.4~2.6（估算·待实测核定）,3~5（估算·待实测核定）,2.3~3.5（估算·待实测核定）,待确认,约0.2~0.6（待确认）"</formula1>
    </dataValidation>
    <dataValidation allowBlank="false" sqref="O2:O151" type="list">
      <formula1>"HW-1 数据中台与智能算力底座,HW-2 高通量自动化表达与克隆筛选,HW-3 微型平行发酵与生物过程培养,HW-4 发酵过程在线监测与蛋白稳定性表征,HW-5 高灵敏液质联用定量分析,HW-6 蛋白色谱纯化与配套备件保障,合计"</formula1>
    </dataValidation>
    <dataValidation allowBlank="false" sqref="R2:R151" type="list">
      <formula1>"标准/进口,国产,asset"</formula1>
    </dataValidation>
    <dataValidation allowBlank="false" sqref="S2:S151" type="list">
      <formula1>"中,高,低"</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